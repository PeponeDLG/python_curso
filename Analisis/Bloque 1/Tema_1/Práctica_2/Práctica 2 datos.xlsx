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 " sheetId="1" r:id="rId4"/>
    <sheet state="visible" name="Datos " sheetId="2" r:id="rId5"/>
    <sheet state="visible" name="Datos depurados" sheetId="3" r:id="rId6"/>
    <sheet state="visible" name="Lugar de residencia familiar" sheetId="4" r:id="rId7"/>
    <sheet state="visible" name="Número de hermanos" sheetId="5" r:id="rId8"/>
    <sheet state="visible" name="Estaturas" sheetId="6" r:id="rId9"/>
    <sheet state="visible" name="Gastos" sheetId="7" r:id="rId10"/>
    <sheet state="visible" name="Horasred" sheetId="8" r:id="rId11"/>
    <sheet state="visible" name="vehículos" sheetId="9" r:id="rId12"/>
    <sheet state="visible" name="Saldo" sheetId="10" r:id="rId13"/>
  </sheets>
  <definedNames/>
  <calcPr/>
  <extLst>
    <ext uri="GoogleSheetsCustomDataVersion2">
      <go:sheetsCustomData xmlns:go="http://customooxmlschemas.google.com/" r:id="rId14" roundtripDataChecksum="93+87ZknTwHrXiQfJOdOdvyPaqdk2mGerEN8nSSKV20="/>
    </ext>
  </extLst>
</workbook>
</file>

<file path=xl/sharedStrings.xml><?xml version="1.0" encoding="utf-8"?>
<sst xmlns="http://schemas.openxmlformats.org/spreadsheetml/2006/main" count="2234" uniqueCount="121">
  <si>
    <t>Nº individuo</t>
  </si>
  <si>
    <t>Nº individuo que realiza la encuesta</t>
  </si>
  <si>
    <t>Sexo</t>
  </si>
  <si>
    <t>Sexo ( "Hombre";  "Mujer")</t>
  </si>
  <si>
    <t>Estatura</t>
  </si>
  <si>
    <t>Estatura en cm</t>
  </si>
  <si>
    <t>Peso</t>
  </si>
  <si>
    <t>Peso en Kg</t>
  </si>
  <si>
    <t>Deporte</t>
  </si>
  <si>
    <t>Frecuencia con la que practica deporte ("Nunca"; Ocasionalmente (menos de una vez por semana); "Regularmente (1 ó 2 veces por semana); "Frecuentemente (3 a 4 veces a la semana)"; "Muy frecuentemente (5 o más veces a la semana")</t>
  </si>
  <si>
    <t>Hermanos</t>
  </si>
  <si>
    <t>Nº hermanos (incluido el alumno)</t>
  </si>
  <si>
    <t>Residencia</t>
  </si>
  <si>
    <t>Lugar de residencia familiar ("Zaragoza capital";  "Zaragoza provincia (excepto Zaragoza capital)"; "Aragón (provincias de Huesca o Teruel)";  "Fuera de Aragón")</t>
  </si>
  <si>
    <t>Centro</t>
  </si>
  <si>
    <t>Tipo de centro en el que ha realizado los estudios a través de los que ha accedido a la Universidad (bachillerato, FP,...)  ( "Público";  "Concertado/Privado")</t>
  </si>
  <si>
    <t>Nota Bach.</t>
  </si>
  <si>
    <t>Nota media del bachillerato (sobre 10)</t>
  </si>
  <si>
    <t>Nota Sel.</t>
  </si>
  <si>
    <t>Nota global de la selectividad (sobre 14)</t>
  </si>
  <si>
    <t>Ordenador</t>
  </si>
  <si>
    <t>Dispone de ordenador personal ( "SI";  "NO")</t>
  </si>
  <si>
    <t>ADSL</t>
  </si>
  <si>
    <t>Dispone de banda ancha (ADSL, Fibra,…) ("SI";  "NO")</t>
  </si>
  <si>
    <t>Red Social</t>
  </si>
  <si>
    <t>Es miembro de alguna red social ("SI";  "NO")</t>
  </si>
  <si>
    <t>Horasred</t>
  </si>
  <si>
    <t>Nº horas semanales actividad en redes sociales</t>
  </si>
  <si>
    <t>Variables auxiliares</t>
  </si>
  <si>
    <t>Sexo(num)</t>
  </si>
  <si>
    <t>0 = Mujer                    1 = Hombre</t>
  </si>
  <si>
    <t>Deporte(num)</t>
  </si>
  <si>
    <t>0 = Nunca                   1 = Ocasionalmente    2 = Regularmente    3 = Frecuentemente    4 = Muy frecuentemente</t>
  </si>
  <si>
    <t>Residencia(num)</t>
  </si>
  <si>
    <t>0 = Zaragoza capital   1 = Zaragoza provincia    2 = Aragón    3 = Fuera de Aragón</t>
  </si>
  <si>
    <t>Centro(num)</t>
  </si>
  <si>
    <t>0 = Público                 1 = Concertado</t>
  </si>
  <si>
    <t>Ordenador(num)</t>
  </si>
  <si>
    <t>0 = No                        1 = Sí</t>
  </si>
  <si>
    <t>ADSL(num)</t>
  </si>
  <si>
    <t>RedSocial(num)</t>
  </si>
  <si>
    <t>Número</t>
  </si>
  <si>
    <t>Nota.Bach.</t>
  </si>
  <si>
    <t>Nota global</t>
  </si>
  <si>
    <t>Hombre</t>
  </si>
  <si>
    <t>Ocasionalmente (menos de 1 vez a la semana)</t>
  </si>
  <si>
    <t>Fuera de Aragón</t>
  </si>
  <si>
    <t>Público</t>
  </si>
  <si>
    <t>Sí</t>
  </si>
  <si>
    <t>Frecuentemente (3 o 4 veces a la semana)</t>
  </si>
  <si>
    <t>Zaragoza capital</t>
  </si>
  <si>
    <t>Concertado/Privado</t>
  </si>
  <si>
    <t>Aragón (provincias de Huesca o Teruel)</t>
  </si>
  <si>
    <t>No</t>
  </si>
  <si>
    <t>Mujer</t>
  </si>
  <si>
    <t>Regularmente (1 o 2 veces a la semana)</t>
  </si>
  <si>
    <t>Muy frecuentemente (5 veces a la semana o más)</t>
  </si>
  <si>
    <t>Zaragoza provincia (excepto Zaragoza capital)</t>
  </si>
  <si>
    <t>Nunca</t>
  </si>
  <si>
    <t>ERRÓNEOS I</t>
  </si>
  <si>
    <t>ERRÓNEOS II</t>
  </si>
  <si>
    <t>AUSENTES</t>
  </si>
  <si>
    <t>Notaglobal</t>
  </si>
  <si>
    <t>RedSocial</t>
  </si>
  <si>
    <t>ELIMINADOS</t>
  </si>
  <si>
    <t>X:Lugar de residencia familiar</t>
  </si>
  <si>
    <t>xi</t>
  </si>
  <si>
    <r>
      <rPr>
        <rFont val="Trebuchet MS"/>
        <b/>
        <color rgb="FF800000"/>
        <sz val="12.0"/>
      </rPr>
      <t>n</t>
    </r>
    <r>
      <rPr>
        <rFont val="Trebuchet MS"/>
        <b/>
        <color rgb="FF800000"/>
        <sz val="12.0"/>
        <vertAlign val="subscript"/>
      </rPr>
      <t>i</t>
    </r>
  </si>
  <si>
    <r>
      <rPr>
        <rFont val="Trebuchet MS"/>
        <b/>
        <color rgb="FF800000"/>
        <sz val="12.0"/>
      </rPr>
      <t>f</t>
    </r>
    <r>
      <rPr>
        <rFont val="Trebuchet MS"/>
        <b/>
        <color rgb="FF800000"/>
        <sz val="12.0"/>
        <vertAlign val="subscript"/>
      </rPr>
      <t>i</t>
    </r>
  </si>
  <si>
    <t>%</t>
  </si>
  <si>
    <t>Total</t>
  </si>
  <si>
    <t>Ausentes</t>
  </si>
  <si>
    <t>MÍNIMO</t>
  </si>
  <si>
    <t>MÁXIMO</t>
  </si>
  <si>
    <r>
      <rPr>
        <rFont val="Trebuchet MS"/>
        <b/>
        <i/>
        <color rgb="FF800000"/>
        <sz val="12.0"/>
      </rPr>
      <t>x</t>
    </r>
    <r>
      <rPr>
        <rFont val="Trebuchet MS"/>
        <b/>
        <i/>
        <color rgb="FF800000"/>
        <sz val="12.0"/>
        <vertAlign val="subscript"/>
      </rPr>
      <t>i</t>
    </r>
  </si>
  <si>
    <r>
      <rPr>
        <rFont val="Trebuchet MS"/>
        <b/>
        <i/>
        <color rgb="FF800000"/>
        <sz val="12.0"/>
      </rPr>
      <t>n</t>
    </r>
    <r>
      <rPr>
        <rFont val="Trebuchet MS"/>
        <b/>
        <i/>
        <color rgb="FF800000"/>
        <sz val="12.0"/>
        <vertAlign val="subscript"/>
      </rPr>
      <t>i</t>
    </r>
  </si>
  <si>
    <r>
      <rPr>
        <rFont val="Trebuchet MS"/>
        <b/>
        <i/>
        <color rgb="FF800000"/>
        <sz val="12.0"/>
      </rPr>
      <t>f</t>
    </r>
    <r>
      <rPr>
        <rFont val="Trebuchet MS"/>
        <b/>
        <i/>
        <color rgb="FF800000"/>
        <sz val="12.0"/>
        <vertAlign val="subscript"/>
      </rPr>
      <t>i</t>
    </r>
  </si>
  <si>
    <r>
      <rPr>
        <rFont val="Trebuchet MS"/>
        <b/>
        <i/>
        <color rgb="FF800000"/>
        <sz val="12.0"/>
      </rPr>
      <t>N</t>
    </r>
    <r>
      <rPr>
        <rFont val="Trebuchet MS"/>
        <b/>
        <i/>
        <color rgb="FF800000"/>
        <sz val="12.0"/>
        <vertAlign val="subscript"/>
      </rPr>
      <t>i</t>
    </r>
  </si>
  <si>
    <r>
      <rPr>
        <rFont val="Trebuchet MS"/>
        <b/>
        <i/>
        <color rgb="FF800000"/>
        <sz val="12.0"/>
      </rPr>
      <t>F</t>
    </r>
    <r>
      <rPr>
        <rFont val="Trebuchet MS"/>
        <b/>
        <i/>
        <color rgb="FF800000"/>
        <sz val="12.0"/>
        <vertAlign val="subscript"/>
      </rPr>
      <t>i</t>
    </r>
  </si>
  <si>
    <t>Mínimo</t>
  </si>
  <si>
    <t>Hay 3 personas menos porque se han quitado los que en "datos depurados"</t>
  </si>
  <si>
    <t>Máximo</t>
  </si>
  <si>
    <t>no sabemos si son hombres o mujeres</t>
  </si>
  <si>
    <t>Límite inf</t>
  </si>
  <si>
    <t>Límite sup</t>
  </si>
  <si>
    <t>Nº intervalos</t>
  </si>
  <si>
    <t>Amplitud</t>
  </si>
  <si>
    <t>Li-1</t>
  </si>
  <si>
    <t>Li</t>
  </si>
  <si>
    <t>ni (todos)</t>
  </si>
  <si>
    <t>ni (alumnos)</t>
  </si>
  <si>
    <t>ni (alumnas)</t>
  </si>
  <si>
    <t>fi (todos)</t>
  </si>
  <si>
    <t>fi (alumnos)</t>
  </si>
  <si>
    <t>fi (alumnas)</t>
  </si>
  <si>
    <t>Fi (todos)</t>
  </si>
  <si>
    <t>Fi(alumnos)</t>
  </si>
  <si>
    <t>Fi (alumnas)</t>
  </si>
  <si>
    <t>TOTALES</t>
  </si>
  <si>
    <t>Gasto en alimentación</t>
  </si>
  <si>
    <t>Número de familias</t>
  </si>
  <si>
    <t>ni</t>
  </si>
  <si>
    <r>
      <rPr>
        <rFont val="Arial"/>
        <b/>
        <i/>
        <color rgb="FF632423"/>
        <sz val="12.0"/>
      </rPr>
      <t>L</t>
    </r>
    <r>
      <rPr>
        <rFont val="Arial"/>
        <b/>
        <i/>
        <color rgb="FF632423"/>
        <sz val="12.0"/>
        <vertAlign val="subscript"/>
      </rPr>
      <t>i-1</t>
    </r>
  </si>
  <si>
    <r>
      <rPr>
        <rFont val="Arial"/>
        <b/>
        <i/>
        <color rgb="FF632423"/>
        <sz val="12.0"/>
      </rPr>
      <t>L</t>
    </r>
    <r>
      <rPr>
        <rFont val="Arial"/>
        <b/>
        <i/>
        <color rgb="FF632423"/>
        <sz val="12.0"/>
        <vertAlign val="subscript"/>
      </rPr>
      <t>i</t>
    </r>
  </si>
  <si>
    <r>
      <rPr>
        <rFont val="Arial"/>
        <b/>
        <i/>
        <color rgb="FF632423"/>
        <sz val="12.0"/>
      </rPr>
      <t>x</t>
    </r>
    <r>
      <rPr>
        <rFont val="Arial"/>
        <b/>
        <i/>
        <color rgb="FF632423"/>
        <sz val="12.0"/>
        <vertAlign val="subscript"/>
      </rPr>
      <t>i</t>
    </r>
  </si>
  <si>
    <r>
      <rPr>
        <rFont val="Arial"/>
        <b/>
        <i/>
        <color rgb="FF632423"/>
        <sz val="12.0"/>
      </rPr>
      <t>n</t>
    </r>
    <r>
      <rPr>
        <rFont val="Arial"/>
        <b/>
        <i/>
        <color rgb="FF632423"/>
        <sz val="12.0"/>
        <vertAlign val="subscript"/>
      </rPr>
      <t>i</t>
    </r>
  </si>
  <si>
    <r>
      <rPr>
        <rFont val="Arial"/>
        <b/>
        <i/>
        <color rgb="FF632423"/>
        <sz val="12.0"/>
      </rPr>
      <t>f</t>
    </r>
    <r>
      <rPr>
        <rFont val="Arial"/>
        <b/>
        <i/>
        <color rgb="FF632423"/>
        <sz val="12.0"/>
        <vertAlign val="subscript"/>
      </rPr>
      <t>i</t>
    </r>
  </si>
  <si>
    <r>
      <rPr>
        <rFont val="Arial"/>
        <b/>
        <i/>
        <color rgb="FF632423"/>
        <sz val="12.0"/>
      </rPr>
      <t>N</t>
    </r>
    <r>
      <rPr>
        <rFont val="Arial"/>
        <b/>
        <i/>
        <color rgb="FF632423"/>
        <sz val="12.0"/>
        <vertAlign val="subscript"/>
      </rPr>
      <t>i</t>
    </r>
  </si>
  <si>
    <r>
      <rPr>
        <rFont val="Arial"/>
        <b/>
        <i/>
        <color rgb="FF632423"/>
        <sz val="12.0"/>
      </rPr>
      <t>F</t>
    </r>
    <r>
      <rPr>
        <rFont val="Arial"/>
        <b/>
        <i/>
        <color rgb="FF632423"/>
        <sz val="12.0"/>
        <vertAlign val="subscript"/>
      </rPr>
      <t>i</t>
    </r>
  </si>
  <si>
    <t>N</t>
  </si>
  <si>
    <t>Número de intervalos</t>
  </si>
  <si>
    <t xml:space="preserve">Amplitud </t>
  </si>
  <si>
    <t>PROMEDIOS</t>
  </si>
  <si>
    <t xml:space="preserve"> </t>
  </si>
  <si>
    <t>Saldo medio trimestral (euros)</t>
  </si>
  <si>
    <t>Nº clientes</t>
  </si>
  <si>
    <t>0-600</t>
  </si>
  <si>
    <t>600-1200</t>
  </si>
  <si>
    <t>1200-1800</t>
  </si>
  <si>
    <t>1800-3000</t>
  </si>
  <si>
    <t>3000-6000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</si>
</sst>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3">
    <font>
      <sz val="11.0"/>
      <color rgb="FF000000"/>
      <name val="Calibri"/>
      <scheme val="minor"/>
    </font>
    <font>
      <sz val="11.0"/>
      <color rgb="FF000000"/>
      <name val="Calibri"/>
    </font>
    <font>
      <b/>
      <i/>
      <sz val="12.0"/>
      <color rgb="FFFFFFFF"/>
      <name val="Trebuchet MS"/>
    </font>
    <font>
      <b/>
      <sz val="10.0"/>
      <color theme="1"/>
      <name val="Trebuchet MS"/>
    </font>
    <font>
      <b/>
      <sz val="14.0"/>
      <color rgb="FF000000"/>
      <name val="Calibri"/>
    </font>
    <font>
      <b/>
      <sz val="11.0"/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sz val="16.0"/>
      <color rgb="FF800000"/>
      <name val="Trebuchet MS"/>
    </font>
    <font>
      <b/>
      <sz val="12.0"/>
      <color rgb="FF800000"/>
      <name val="Trebuchet MS"/>
    </font>
    <font>
      <b/>
      <sz val="12.0"/>
      <color theme="1"/>
      <name val="Trebuchet MS"/>
    </font>
    <font>
      <sz val="12.0"/>
      <color rgb="FF000000"/>
      <name val="Calibri"/>
    </font>
    <font>
      <color theme="1"/>
      <name val="Calibri"/>
    </font>
    <font>
      <sz val="12.0"/>
      <color theme="1"/>
      <name val="Trebuchet MS"/>
    </font>
    <font>
      <sz val="12.0"/>
      <color theme="1"/>
      <name val="Calibri"/>
    </font>
    <font>
      <b/>
      <i/>
      <sz val="12.0"/>
      <color rgb="FF800000"/>
      <name val="Trebuchet MS"/>
    </font>
    <font>
      <b/>
      <sz val="12.0"/>
      <color rgb="FF000000"/>
      <name val="Calibri"/>
    </font>
    <font>
      <b/>
      <sz val="12.0"/>
      <color rgb="FF000000"/>
      <name val="Arial"/>
    </font>
    <font>
      <sz val="11.0"/>
      <color rgb="FFFF0000"/>
      <name val="Calibri"/>
    </font>
    <font>
      <b/>
      <i/>
      <sz val="12.0"/>
      <color rgb="FF632423"/>
      <name val="Arial"/>
    </font>
    <font>
      <b/>
      <i/>
      <sz val="12.0"/>
      <color rgb="FF632523"/>
      <name val="Arial"/>
    </font>
    <font>
      <b/>
      <sz val="10.0"/>
      <color rgb="FFCC0000"/>
      <name val="Arial"/>
    </font>
    <font>
      <sz val="12.0"/>
      <color rgb="FF000000"/>
      <name val="Arial"/>
    </font>
    <font/>
    <font>
      <sz val="12.0"/>
      <color rgb="FF000000"/>
      <name val="&quot;Times New Roman&quot;"/>
    </font>
    <font>
      <b/>
      <i/>
      <sz val="12.0"/>
      <color rgb="FF000000"/>
      <name val="&quot;Times New Roman&quot;"/>
    </font>
    <font>
      <b/>
      <sz val="12.0"/>
      <color rgb="FF000000"/>
      <name val="&quot;Times New Roman&quot;"/>
    </font>
    <font>
      <b/>
      <sz val="12.0"/>
      <color rgb="FFC00000"/>
      <name val="Arial"/>
    </font>
    <font>
      <b/>
      <sz val="12.0"/>
      <color theme="0"/>
      <name val="Arial"/>
    </font>
    <font>
      <b/>
      <sz val="11.0"/>
      <color theme="0"/>
      <name val="Calibri"/>
    </font>
    <font>
      <b/>
      <sz val="12.0"/>
      <color theme="1"/>
      <name val="Arial"/>
    </font>
    <font>
      <sz val="12.0"/>
      <color theme="1"/>
      <name val="&quot;Times New Roman&quot;"/>
    </font>
    <font>
      <b/>
      <sz val="12.0"/>
      <color theme="1"/>
      <name val="&quot;Times New Roman&quot;"/>
    </font>
  </fonts>
  <fills count="24">
    <fill>
      <patternFill patternType="none"/>
    </fill>
    <fill>
      <patternFill patternType="lightGray"/>
    </fill>
    <fill>
      <patternFill patternType="solid">
        <fgColor rgb="FF3366FF"/>
        <bgColor rgb="FF3366FF"/>
      </patternFill>
    </fill>
    <fill>
      <patternFill patternType="solid">
        <fgColor rgb="FFC6D9F0"/>
        <bgColor rgb="FFC6D9F0"/>
      </patternFill>
    </fill>
    <fill>
      <patternFill patternType="solid">
        <fgColor rgb="FF00B050"/>
        <bgColor rgb="FF00B050"/>
      </patternFill>
    </fill>
    <fill>
      <patternFill patternType="solid">
        <fgColor rgb="FF8DB3E2"/>
        <bgColor rgb="FF8DB3E2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0070C0"/>
        <bgColor rgb="FF0070C0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548DD4"/>
        <bgColor rgb="FF548DD4"/>
      </patternFill>
    </fill>
    <fill>
      <patternFill patternType="solid">
        <fgColor rgb="FFB8CCE4"/>
        <bgColor rgb="FFB8CCE4"/>
      </patternFill>
    </fill>
    <fill>
      <patternFill patternType="solid">
        <fgColor rgb="FFFFC000"/>
        <bgColor rgb="FFFFC000"/>
      </patternFill>
    </fill>
    <fill>
      <patternFill patternType="solid">
        <fgColor rgb="FFFBD4B4"/>
        <bgColor rgb="FFFBD4B4"/>
      </patternFill>
    </fill>
    <fill>
      <patternFill patternType="solid">
        <fgColor rgb="FFA5A5A5"/>
        <bgColor rgb="FFA5A5A5"/>
      </patternFill>
    </fill>
    <fill>
      <patternFill patternType="solid">
        <fgColor rgb="FFA6A6A6"/>
        <bgColor rgb="FFA6A6A6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E6B8B7"/>
        <bgColor rgb="FFE6B8B7"/>
      </patternFill>
    </fill>
    <fill>
      <patternFill patternType="solid">
        <fgColor rgb="FF953734"/>
        <bgColor rgb="FF953734"/>
      </patternFill>
    </fill>
    <fill>
      <patternFill patternType="solid">
        <fgColor rgb="FFCCFFCC"/>
        <bgColor rgb="FFCCFFCC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shrinkToFit="0" vertical="top" wrapText="1"/>
    </xf>
    <xf borderId="1" fillId="3" fontId="3" numFmtId="0" xfId="0" applyAlignment="1" applyBorder="1" applyFill="1" applyFont="1">
      <alignment shrinkToFit="0" vertical="top" wrapText="1"/>
    </xf>
    <xf borderId="0" fillId="0" fontId="4" numFmtId="0" xfId="0" applyFont="1"/>
    <xf borderId="1" fillId="4" fontId="2" numFmtId="0" xfId="0" applyAlignment="1" applyBorder="1" applyFill="1" applyFont="1">
      <alignment horizontal="left" shrinkToFit="0" vertical="top" wrapText="1"/>
    </xf>
    <xf borderId="1" fillId="5" fontId="5" numFmtId="0" xfId="0" applyAlignment="1" applyBorder="1" applyFill="1" applyFont="1">
      <alignment horizontal="center"/>
    </xf>
    <xf borderId="1" fillId="5" fontId="6" numFmtId="49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7" numFmtId="49" xfId="0" applyAlignment="1" applyBorder="1" applyFont="1" applyNumberFormat="1">
      <alignment horizontal="center" vertical="top"/>
    </xf>
    <xf borderId="1" fillId="6" fontId="7" numFmtId="0" xfId="0" applyAlignment="1" applyBorder="1" applyFill="1" applyFont="1">
      <alignment horizontal="center" vertical="top"/>
    </xf>
    <xf borderId="1" fillId="0" fontId="7" numFmtId="0" xfId="0" applyAlignment="1" applyBorder="1" applyFont="1">
      <alignment horizontal="center" vertical="top"/>
    </xf>
    <xf borderId="1" fillId="7" fontId="7" numFmtId="0" xfId="0" applyAlignment="1" applyBorder="1" applyFill="1" applyFont="1">
      <alignment horizontal="center" vertical="top"/>
    </xf>
    <xf borderId="1" fillId="8" fontId="1" numFmtId="0" xfId="0" applyAlignment="1" applyBorder="1" applyFill="1" applyFont="1">
      <alignment horizontal="center"/>
    </xf>
    <xf borderId="1" fillId="9" fontId="7" numFmtId="0" xfId="0" applyAlignment="1" applyBorder="1" applyFill="1" applyFont="1">
      <alignment horizontal="center" vertical="top"/>
    </xf>
    <xf borderId="1" fillId="7" fontId="6" numFmtId="49" xfId="0" applyAlignment="1" applyBorder="1" applyFont="1" applyNumberFormat="1">
      <alignment horizontal="center" vertical="center"/>
    </xf>
    <xf borderId="1" fillId="7" fontId="1" numFmtId="0" xfId="0" applyAlignment="1" applyBorder="1" applyFont="1">
      <alignment horizontal="center"/>
    </xf>
    <xf borderId="1" fillId="7" fontId="5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" fillId="9" fontId="6" numFmtId="49" xfId="0" applyAlignment="1" applyBorder="1" applyFont="1" applyNumberFormat="1">
      <alignment horizontal="center" vertical="center"/>
    </xf>
    <xf borderId="1" fillId="9" fontId="1" numFmtId="0" xfId="0" applyAlignment="1" applyBorder="1" applyFont="1">
      <alignment horizontal="center"/>
    </xf>
    <xf borderId="1" fillId="9" fontId="1" numFmtId="0" xfId="0" applyAlignment="1" applyBorder="1" applyFont="1">
      <alignment horizontal="center" vertical="center"/>
    </xf>
    <xf borderId="1" fillId="8" fontId="6" numFmtId="49" xfId="0" applyAlignment="1" applyBorder="1" applyFont="1" applyNumberFormat="1">
      <alignment horizontal="center" vertical="center"/>
    </xf>
    <xf borderId="1" fillId="10" fontId="7" numFmtId="3" xfId="0" applyAlignment="1" applyBorder="1" applyFill="1" applyFont="1" applyNumberFormat="1">
      <alignment horizontal="center" vertical="top"/>
    </xf>
    <xf borderId="1" fillId="10" fontId="7" numFmtId="0" xfId="0" applyAlignment="1" applyBorder="1" applyFont="1">
      <alignment horizontal="center" vertical="top"/>
    </xf>
    <xf borderId="1" fillId="10" fontId="7" numFmtId="49" xfId="0" applyAlignment="1" applyBorder="1" applyFont="1" applyNumberFormat="1">
      <alignment horizontal="center" vertical="top"/>
    </xf>
    <xf borderId="1" fillId="0" fontId="7" numFmtId="3" xfId="0" applyAlignment="1" applyBorder="1" applyFont="1" applyNumberFormat="1">
      <alignment horizontal="center" vertical="top"/>
    </xf>
    <xf borderId="1" fillId="10" fontId="1" numFmtId="0" xfId="0" applyAlignment="1" applyBorder="1" applyFont="1">
      <alignment horizontal="center"/>
    </xf>
    <xf borderId="1" fillId="11" fontId="8" numFmtId="0" xfId="0" applyAlignment="1" applyBorder="1" applyFill="1" applyFont="1">
      <alignment horizontal="center"/>
    </xf>
    <xf borderId="1" fillId="11" fontId="9" numFmtId="0" xfId="0" applyAlignment="1" applyBorder="1" applyFont="1">
      <alignment horizontal="center"/>
    </xf>
    <xf borderId="1" fillId="11" fontId="10" numFmtId="0" xfId="0" applyAlignment="1" applyBorder="1" applyFont="1">
      <alignment horizontal="center"/>
    </xf>
    <xf borderId="1" fillId="10" fontId="10" numFmtId="0" xfId="0" applyAlignment="1" applyBorder="1" applyFont="1">
      <alignment horizontal="center"/>
    </xf>
    <xf borderId="1" fillId="0" fontId="11" numFmtId="0" xfId="0" applyBorder="1" applyFont="1"/>
    <xf borderId="1" fillId="0" fontId="12" numFmtId="10" xfId="0" applyBorder="1" applyFont="1" applyNumberFormat="1"/>
    <xf borderId="1" fillId="12" fontId="10" numFmtId="0" xfId="0" applyAlignment="1" applyBorder="1" applyFill="1" applyFont="1">
      <alignment horizontal="center"/>
    </xf>
    <xf borderId="1" fillId="12" fontId="10" numFmtId="10" xfId="0" applyAlignment="1" applyBorder="1" applyFont="1" applyNumberFormat="1">
      <alignment horizontal="center"/>
    </xf>
    <xf borderId="2" fillId="13" fontId="10" numFmtId="0" xfId="0" applyAlignment="1" applyBorder="1" applyFill="1" applyFont="1">
      <alignment horizontal="center"/>
    </xf>
    <xf borderId="2" fillId="13" fontId="13" numFmtId="0" xfId="0" applyAlignment="1" applyBorder="1" applyFont="1">
      <alignment horizontal="center"/>
    </xf>
    <xf borderId="0" fillId="0" fontId="1" numFmtId="49" xfId="0" applyFont="1" applyNumberFormat="1"/>
    <xf borderId="3" fillId="8" fontId="11" numFmtId="0" xfId="0" applyBorder="1" applyFont="1"/>
    <xf borderId="3" fillId="14" fontId="14" numFmtId="0" xfId="0" applyAlignment="1" applyBorder="1" applyFill="1" applyFont="1">
      <alignment horizontal="center"/>
    </xf>
    <xf borderId="3" fillId="10" fontId="1" numFmtId="0" xfId="0" applyBorder="1" applyFont="1"/>
    <xf borderId="1" fillId="11" fontId="15" numFmtId="0" xfId="0" applyAlignment="1" applyBorder="1" applyFont="1">
      <alignment horizontal="center"/>
    </xf>
    <xf borderId="0" fillId="0" fontId="11" numFmtId="0" xfId="0" applyFont="1"/>
    <xf borderId="4" fillId="15" fontId="16" numFmtId="0" xfId="0" applyBorder="1" applyFill="1" applyFont="1"/>
    <xf borderId="4" fillId="16" fontId="11" numFmtId="0" xfId="0" applyBorder="1" applyFill="1" applyFont="1"/>
    <xf borderId="3" fillId="16" fontId="11" numFmtId="0" xfId="0" applyBorder="1" applyFont="1"/>
    <xf borderId="3" fillId="15" fontId="16" numFmtId="0" xfId="0" applyBorder="1" applyFont="1"/>
    <xf borderId="1" fillId="6" fontId="17" numFmtId="0" xfId="0" applyAlignment="1" applyBorder="1" applyFont="1">
      <alignment horizontal="right"/>
    </xf>
    <xf borderId="1" fillId="6" fontId="17" numFmtId="0" xfId="0" applyBorder="1" applyFont="1"/>
    <xf borderId="0" fillId="0" fontId="12" numFmtId="0" xfId="0" applyFont="1"/>
    <xf borderId="0" fillId="0" fontId="1" numFmtId="10" xfId="0" applyFont="1" applyNumberFormat="1"/>
    <xf borderId="0" fillId="0" fontId="1" numFmtId="164" xfId="0" applyFont="1" applyNumberFormat="1"/>
    <xf borderId="0" fillId="0" fontId="5" numFmtId="0" xfId="0" applyAlignment="1" applyFont="1">
      <alignment horizontal="right"/>
    </xf>
    <xf borderId="0" fillId="0" fontId="1" numFmtId="2" xfId="0" applyFont="1" applyNumberFormat="1"/>
    <xf borderId="0" fillId="0" fontId="1" numFmtId="0" xfId="0" applyAlignment="1" applyFont="1">
      <alignment horizontal="right"/>
    </xf>
    <xf borderId="0" fillId="0" fontId="18" numFmtId="10" xfId="0" applyFont="1" applyNumberFormat="1"/>
    <xf borderId="1" fillId="17" fontId="19" numFmtId="0" xfId="0" applyAlignment="1" applyBorder="1" applyFill="1" applyFont="1">
      <alignment horizontal="center"/>
    </xf>
    <xf borderId="5" fillId="18" fontId="20" numFmtId="0" xfId="0" applyAlignment="1" applyBorder="1" applyFill="1" applyFont="1">
      <alignment horizontal="center" shrinkToFit="0" vertical="bottom" wrapText="0"/>
    </xf>
    <xf borderId="6" fillId="18" fontId="20" numFmtId="0" xfId="0" applyAlignment="1" applyBorder="1" applyFont="1">
      <alignment horizontal="center" shrinkToFit="0" vertical="bottom" wrapText="0"/>
    </xf>
    <xf borderId="1" fillId="0" fontId="21" numFmtId="3" xfId="0" applyAlignment="1" applyBorder="1" applyFont="1" applyNumberFormat="1">
      <alignment horizontal="center" vertical="top"/>
    </xf>
    <xf borderId="1" fillId="0" fontId="22" numFmtId="0" xfId="0" applyAlignment="1" applyBorder="1" applyFont="1">
      <alignment horizontal="center" vertical="center"/>
    </xf>
    <xf borderId="1" fillId="0" fontId="22" numFmtId="0" xfId="0" applyBorder="1" applyFont="1"/>
    <xf borderId="1" fillId="0" fontId="22" numFmtId="10" xfId="0" applyBorder="1" applyFont="1" applyNumberFormat="1"/>
    <xf borderId="1" fillId="0" fontId="22" numFmtId="10" xfId="0" applyAlignment="1" applyBorder="1" applyFont="1" applyNumberFormat="1">
      <alignment horizontal="right" shrinkToFit="0" vertical="bottom" wrapText="0"/>
    </xf>
    <xf borderId="7" fillId="7" fontId="17" numFmtId="0" xfId="0" applyAlignment="1" applyBorder="1" applyFont="1">
      <alignment horizontal="center"/>
    </xf>
    <xf borderId="8" fillId="0" fontId="23" numFmtId="0" xfId="0" applyBorder="1" applyFont="1"/>
    <xf borderId="1" fillId="7" fontId="17" numFmtId="0" xfId="0" applyAlignment="1" applyBorder="1" applyFont="1">
      <alignment horizontal="right"/>
    </xf>
    <xf borderId="1" fillId="7" fontId="17" numFmtId="10" xfId="0" applyAlignment="1" applyBorder="1" applyFont="1" applyNumberFormat="1">
      <alignment horizontal="right"/>
    </xf>
    <xf borderId="0" fillId="0" fontId="24" numFmtId="0" xfId="0" applyAlignment="1" applyFont="1">
      <alignment shrinkToFit="0" vertical="bottom" wrapText="0"/>
    </xf>
    <xf borderId="9" fillId="0" fontId="25" numFmtId="0" xfId="0" applyAlignment="1" applyBorder="1" applyFont="1">
      <alignment horizontal="center" readingOrder="0" shrinkToFit="0" vertical="bottom" wrapText="0"/>
    </xf>
    <xf borderId="9" fillId="0" fontId="23" numFmtId="0" xfId="0" applyBorder="1" applyFont="1"/>
    <xf borderId="9" fillId="0" fontId="25" numFmtId="0" xfId="0" applyAlignment="1" applyBorder="1" applyFont="1">
      <alignment readingOrder="0" shrinkToFit="0" vertical="bottom" wrapText="0"/>
    </xf>
    <xf borderId="1" fillId="19" fontId="25" numFmtId="0" xfId="0" applyAlignment="1" applyBorder="1" applyFill="1" applyFont="1">
      <alignment horizontal="center" readingOrder="0" shrinkToFit="0" vertical="bottom" wrapText="0"/>
    </xf>
    <xf borderId="1" fillId="20" fontId="24" numFmtId="0" xfId="0" applyAlignment="1" applyBorder="1" applyFill="1" applyFont="1">
      <alignment horizontal="center" readingOrder="0" shrinkToFit="0" vertical="bottom" wrapText="0"/>
    </xf>
    <xf borderId="0" fillId="0" fontId="24" numFmtId="0" xfId="0" applyAlignment="1" applyFont="1">
      <alignment horizontal="center" shrinkToFit="0" vertical="bottom" wrapText="0"/>
    </xf>
    <xf borderId="0" fillId="0" fontId="26" numFmtId="0" xfId="0" applyAlignment="1" applyFont="1">
      <alignment shrinkToFit="0" vertical="bottom" wrapText="0"/>
    </xf>
    <xf borderId="0" fillId="0" fontId="22" numFmtId="0" xfId="0" applyFont="1"/>
    <xf borderId="1" fillId="0" fontId="27" numFmtId="0" xfId="0" applyAlignment="1" applyBorder="1" applyFont="1">
      <alignment horizontal="center" shrinkToFit="0" wrapText="0"/>
    </xf>
    <xf borderId="1" fillId="0" fontId="22" numFmtId="0" xfId="0" applyAlignment="1" applyBorder="1" applyFont="1">
      <alignment horizontal="center" shrinkToFit="0" wrapText="0"/>
    </xf>
    <xf borderId="1" fillId="0" fontId="22" numFmtId="10" xfId="0" applyAlignment="1" applyBorder="1" applyFont="1" applyNumberFormat="1">
      <alignment horizontal="center" vertical="center"/>
    </xf>
    <xf borderId="1" fillId="21" fontId="17" numFmtId="0" xfId="0" applyAlignment="1" applyBorder="1" applyFill="1" applyFont="1">
      <alignment horizontal="right" shrinkToFit="0" vertical="bottom" wrapText="0"/>
    </xf>
    <xf borderId="1" fillId="21" fontId="17" numFmtId="0" xfId="0" applyAlignment="1" applyBorder="1" applyFont="1">
      <alignment shrinkToFit="0" vertical="bottom" wrapText="0"/>
    </xf>
    <xf borderId="1" fillId="7" fontId="17" numFmtId="0" xfId="0" applyAlignment="1" applyBorder="1" applyFont="1">
      <alignment horizontal="center"/>
    </xf>
    <xf borderId="1" fillId="7" fontId="17" numFmtId="10" xfId="0" applyAlignment="1" applyBorder="1" applyFont="1" applyNumberFormat="1">
      <alignment horizontal="center"/>
    </xf>
    <xf borderId="7" fillId="22" fontId="28" numFmtId="0" xfId="0" applyAlignment="1" applyBorder="1" applyFill="1" applyFont="1">
      <alignment horizontal="center"/>
    </xf>
    <xf borderId="1" fillId="22" fontId="29" numFmtId="0" xfId="0" applyAlignment="1" applyBorder="1" applyFont="1">
      <alignment horizontal="center"/>
    </xf>
    <xf borderId="0" fillId="0" fontId="30" numFmtId="0" xfId="0" applyFont="1"/>
    <xf borderId="0" fillId="0" fontId="30" numFmtId="2" xfId="0" applyAlignment="1" applyFont="1" applyNumberFormat="1">
      <alignment horizontal="center"/>
    </xf>
    <xf borderId="0" fillId="0" fontId="31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31" numFmtId="0" xfId="0" applyAlignment="1" applyFont="1">
      <alignment readingOrder="0" shrinkToFit="0" vertical="bottom" wrapText="0"/>
    </xf>
    <xf borderId="10" fillId="23" fontId="31" numFmtId="0" xfId="0" applyAlignment="1" applyBorder="1" applyFill="1" applyFont="1">
      <alignment horizontal="center" readingOrder="0" shrinkToFit="0" vertical="bottom" wrapText="0"/>
    </xf>
    <xf borderId="11" fillId="23" fontId="31" numFmtId="0" xfId="0" applyAlignment="1" applyBorder="1" applyFont="1">
      <alignment horizontal="center" readingOrder="0" shrinkToFit="0" vertical="bottom" wrapText="0"/>
    </xf>
    <xf borderId="12" fillId="23" fontId="31" numFmtId="0" xfId="0" applyAlignment="1" applyBorder="1" applyFont="1">
      <alignment horizontal="center" readingOrder="0" shrinkToFit="0" vertical="bottom" wrapText="0"/>
    </xf>
    <xf borderId="13" fillId="23" fontId="31" numFmtId="0" xfId="0" applyAlignment="1" applyBorder="1" applyFont="1">
      <alignment horizontal="center" readingOrder="0" shrinkToFit="0" vertical="bottom" wrapText="0"/>
    </xf>
    <xf borderId="0" fillId="23" fontId="31" numFmtId="0" xfId="0" applyAlignment="1" applyFont="1">
      <alignment horizontal="center" readingOrder="0" shrinkToFit="0" vertical="bottom" wrapText="0"/>
    </xf>
    <xf borderId="6" fillId="23" fontId="31" numFmtId="0" xfId="0" applyAlignment="1" applyBorder="1" applyFont="1">
      <alignment horizontal="center" readingOrder="0" shrinkToFit="0" vertical="bottom" wrapText="0"/>
    </xf>
    <xf borderId="14" fillId="23" fontId="31" numFmtId="0" xfId="0" applyAlignment="1" applyBorder="1" applyFont="1">
      <alignment horizontal="center" readingOrder="0" shrinkToFit="0" vertical="bottom" wrapText="0"/>
    </xf>
    <xf borderId="9" fillId="23" fontId="31" numFmtId="0" xfId="0" applyAlignment="1" applyBorder="1" applyFont="1">
      <alignment horizontal="center" readingOrder="0" shrinkToFit="0" vertical="bottom" wrapText="0"/>
    </xf>
    <xf borderId="15" fillId="23" fontId="31" numFmtId="0" xfId="0" applyAlignment="1" applyBorder="1" applyFont="1">
      <alignment horizontal="center" readingOrder="0" shrinkToFit="0" vertical="bottom" wrapText="0"/>
    </xf>
    <xf borderId="0" fillId="0" fontId="32" numFmtId="0" xfId="0" applyAlignment="1" applyFont="1">
      <alignment horizontal="right" shrinkToFit="0" vertical="bottom" wrapText="0"/>
    </xf>
    <xf borderId="1" fillId="0" fontId="32" numFmtId="0" xfId="0" applyAlignment="1" applyBorder="1" applyFont="1">
      <alignment horizontal="center" readingOrder="0" vertical="bottom"/>
    </xf>
    <xf borderId="8" fillId="0" fontId="32" numFmtId="0" xfId="0" applyAlignment="1" applyBorder="1" applyFont="1">
      <alignment horizontal="center" readingOrder="0" vertical="bottom"/>
    </xf>
    <xf borderId="16" fillId="23" fontId="31" numFmtId="0" xfId="0" applyAlignment="1" applyBorder="1" applyFont="1">
      <alignment horizontal="center" readingOrder="0" vertical="bottom"/>
    </xf>
    <xf borderId="15" fillId="23" fontId="3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0</xdr:row>
      <xdr:rowOff>57150</xdr:rowOff>
    </xdr:from>
    <xdr:ext cx="6143625" cy="1838325"/>
    <xdr:sp>
      <xdr:nvSpPr>
        <xdr:cNvPr id="3" name="Shape 3"/>
        <xdr:cNvSpPr/>
      </xdr:nvSpPr>
      <xdr:spPr>
        <a:xfrm>
          <a:off x="2283713" y="2870363"/>
          <a:ext cx="6124575" cy="1819275"/>
        </a:xfrm>
        <a:prstGeom prst="rect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Estudio de la variable </a:t>
          </a:r>
          <a:r>
            <a:rPr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Horasred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 </a:t>
          </a:r>
          <a:endParaRPr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60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a) Describe el tipo y escala de medida de dicha variable. </a:t>
          </a:r>
          <a:endParaRPr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60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b) Realiza la tabla de frecuencias de esta variable y su representación gráfica. Para ello agrupa los valores en 10 intervalos de amplitud 7 comenzando en 0.</a:t>
          </a:r>
          <a:endParaRPr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60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c) ¿Qué porcentaje de estudiantes le dedica semanalmente como mucho 14 horas a las redes sociales? ¿Y al menos 21?</a:t>
          </a:r>
          <a:endParaRPr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27</xdr:row>
      <xdr:rowOff>-209550</xdr:rowOff>
    </xdr:from>
    <xdr:ext cx="6286500" cy="6591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0</xdr:rowOff>
    </xdr:from>
    <xdr:ext cx="6400800" cy="22764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15275" cy="23241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27.29"/>
    <col customWidth="1" min="3" max="6" width="11.43"/>
    <col customWidth="1" min="7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0</v>
      </c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2</v>
      </c>
      <c r="B4" s="3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4</v>
      </c>
      <c r="B5" s="3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6</v>
      </c>
      <c r="B6" s="3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8</v>
      </c>
      <c r="B7" s="3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10</v>
      </c>
      <c r="B8" s="3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12</v>
      </c>
      <c r="B9" s="3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14</v>
      </c>
      <c r="B10" s="3" t="s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16</v>
      </c>
      <c r="B11" s="3" t="s">
        <v>17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18</v>
      </c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20</v>
      </c>
      <c r="B13" s="3" t="s">
        <v>21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22</v>
      </c>
      <c r="B14" s="3" t="s">
        <v>23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24</v>
      </c>
      <c r="B15" s="3" t="s">
        <v>25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26</v>
      </c>
      <c r="B16" s="3" t="s">
        <v>27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" t="s">
        <v>28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 t="s">
        <v>29</v>
      </c>
      <c r="B19" s="3" t="s">
        <v>30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" t="s">
        <v>31</v>
      </c>
      <c r="B20" s="3" t="s">
        <v>32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5" t="s">
        <v>33</v>
      </c>
      <c r="B21" s="3" t="s">
        <v>34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5" t="s">
        <v>35</v>
      </c>
      <c r="B22" s="3" t="s">
        <v>36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5" t="s">
        <v>37</v>
      </c>
      <c r="B23" s="3" t="s">
        <v>38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5" t="s">
        <v>39</v>
      </c>
      <c r="B24" s="3" t="s">
        <v>38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5" t="s">
        <v>40</v>
      </c>
      <c r="B25" s="3" t="s">
        <v>38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86"/>
    <col customWidth="1" min="2" max="2" width="17.29"/>
    <col customWidth="1" min="3" max="3" width="15.57"/>
    <col customWidth="1" min="4" max="4" width="9.14"/>
    <col customWidth="1" min="5" max="5" width="43.14"/>
    <col customWidth="1" min="6" max="6" width="12.29"/>
    <col customWidth="1" min="7" max="7" width="39.43"/>
    <col customWidth="1" min="8" max="8" width="17.14"/>
    <col customWidth="1" min="9" max="9" width="13.57"/>
    <col customWidth="1" min="10" max="10" width="14.29"/>
    <col customWidth="1" min="11" max="11" width="10.71"/>
    <col customWidth="1" min="12" max="12" width="8.43"/>
    <col customWidth="1" min="13" max="13" width="10.86"/>
    <col customWidth="1" min="14" max="26" width="9.14"/>
  </cols>
  <sheetData>
    <row r="1">
      <c r="A1" s="6" t="s">
        <v>41</v>
      </c>
      <c r="B1" s="7" t="s">
        <v>2</v>
      </c>
      <c r="C1" s="7" t="s">
        <v>4</v>
      </c>
      <c r="D1" s="7" t="s">
        <v>6</v>
      </c>
      <c r="E1" s="7" t="s">
        <v>8</v>
      </c>
      <c r="F1" s="7" t="s">
        <v>10</v>
      </c>
      <c r="G1" s="7" t="s">
        <v>12</v>
      </c>
      <c r="H1" s="7" t="s">
        <v>14</v>
      </c>
      <c r="I1" s="7" t="s">
        <v>42</v>
      </c>
      <c r="J1" s="7" t="s">
        <v>43</v>
      </c>
      <c r="K1" s="7" t="s">
        <v>20</v>
      </c>
      <c r="L1" s="7" t="s">
        <v>22</v>
      </c>
      <c r="M1" s="7" t="s">
        <v>24</v>
      </c>
      <c r="N1" s="7" t="s">
        <v>26</v>
      </c>
    </row>
    <row r="2">
      <c r="A2" s="8">
        <v>1.0</v>
      </c>
      <c r="B2" s="9" t="s">
        <v>44</v>
      </c>
      <c r="C2" s="10">
        <v>0.0</v>
      </c>
      <c r="D2" s="10">
        <v>0.0</v>
      </c>
      <c r="E2" s="9" t="s">
        <v>45</v>
      </c>
      <c r="F2" s="10">
        <v>0.0</v>
      </c>
      <c r="G2" s="9" t="s">
        <v>46</v>
      </c>
      <c r="H2" s="9" t="s">
        <v>47</v>
      </c>
      <c r="I2" s="10">
        <v>0.0</v>
      </c>
      <c r="J2" s="10">
        <v>0.0</v>
      </c>
      <c r="K2" s="9" t="s">
        <v>48</v>
      </c>
      <c r="L2" s="9" t="s">
        <v>48</v>
      </c>
      <c r="M2" s="9" t="s">
        <v>48</v>
      </c>
      <c r="N2" s="10">
        <v>0.0</v>
      </c>
    </row>
    <row r="3">
      <c r="A3" s="8">
        <v>2.0</v>
      </c>
      <c r="B3" s="9" t="s">
        <v>44</v>
      </c>
      <c r="C3" s="10">
        <v>0.0</v>
      </c>
      <c r="D3" s="10">
        <v>0.0</v>
      </c>
      <c r="E3" s="9" t="s">
        <v>49</v>
      </c>
      <c r="F3" s="10">
        <v>0.0</v>
      </c>
      <c r="G3" s="9" t="s">
        <v>50</v>
      </c>
      <c r="H3" s="9" t="s">
        <v>51</v>
      </c>
      <c r="I3" s="10">
        <v>0.0</v>
      </c>
      <c r="J3" s="10">
        <v>0.0</v>
      </c>
      <c r="K3" s="9" t="s">
        <v>48</v>
      </c>
      <c r="L3" s="9" t="s">
        <v>48</v>
      </c>
      <c r="M3" s="9" t="s">
        <v>48</v>
      </c>
      <c r="N3" s="10">
        <v>0.0</v>
      </c>
    </row>
    <row r="4">
      <c r="A4" s="8">
        <v>3.0</v>
      </c>
      <c r="B4" s="9" t="s">
        <v>44</v>
      </c>
      <c r="C4" s="10">
        <v>0.0</v>
      </c>
      <c r="D4" s="10">
        <v>0.0</v>
      </c>
      <c r="E4" s="9" t="s">
        <v>49</v>
      </c>
      <c r="F4" s="10">
        <v>0.0</v>
      </c>
      <c r="G4" s="9" t="s">
        <v>52</v>
      </c>
      <c r="H4" s="9" t="s">
        <v>47</v>
      </c>
      <c r="I4" s="10">
        <v>0.0</v>
      </c>
      <c r="J4" s="10">
        <v>0.0</v>
      </c>
      <c r="K4" s="9" t="s">
        <v>48</v>
      </c>
      <c r="L4" s="9" t="s">
        <v>53</v>
      </c>
      <c r="M4" s="9" t="s">
        <v>48</v>
      </c>
      <c r="N4" s="10">
        <v>0.0</v>
      </c>
    </row>
    <row r="5">
      <c r="A5" s="8">
        <v>4.0</v>
      </c>
      <c r="B5" s="9" t="s">
        <v>54</v>
      </c>
      <c r="C5" s="11">
        <v>162.0</v>
      </c>
      <c r="D5" s="11">
        <v>52.5</v>
      </c>
      <c r="E5" s="9" t="s">
        <v>55</v>
      </c>
      <c r="F5" s="11">
        <v>4.0</v>
      </c>
      <c r="G5" s="9" t="s">
        <v>50</v>
      </c>
      <c r="H5" s="9" t="s">
        <v>47</v>
      </c>
      <c r="I5" s="11">
        <v>9.0</v>
      </c>
      <c r="J5" s="11">
        <v>11.0</v>
      </c>
      <c r="K5" s="9" t="s">
        <v>48</v>
      </c>
      <c r="L5" s="9" t="s">
        <v>48</v>
      </c>
      <c r="M5" s="9" t="s">
        <v>53</v>
      </c>
      <c r="N5" s="11">
        <v>0.0</v>
      </c>
    </row>
    <row r="6">
      <c r="A6" s="8">
        <v>5.0</v>
      </c>
      <c r="B6" s="9" t="s">
        <v>44</v>
      </c>
      <c r="C6" s="11">
        <v>182.0</v>
      </c>
      <c r="D6" s="11">
        <v>76.0</v>
      </c>
      <c r="E6" s="9" t="s">
        <v>49</v>
      </c>
      <c r="F6" s="11">
        <v>2.0</v>
      </c>
      <c r="G6" s="9" t="s">
        <v>52</v>
      </c>
      <c r="H6" s="9" t="s">
        <v>47</v>
      </c>
      <c r="I6" s="11">
        <v>7.0</v>
      </c>
      <c r="J6" s="11">
        <v>7.0</v>
      </c>
      <c r="K6" s="9" t="s">
        <v>48</v>
      </c>
      <c r="L6" s="9" t="s">
        <v>48</v>
      </c>
      <c r="M6" s="9" t="s">
        <v>48</v>
      </c>
      <c r="N6" s="11">
        <v>10.0</v>
      </c>
    </row>
    <row r="7">
      <c r="A7" s="8">
        <v>6.0</v>
      </c>
      <c r="B7" s="9" t="s">
        <v>44</v>
      </c>
      <c r="C7" s="11">
        <v>185.0</v>
      </c>
      <c r="D7" s="11">
        <v>84.0</v>
      </c>
      <c r="E7" s="9" t="s">
        <v>56</v>
      </c>
      <c r="F7" s="11">
        <v>2.0</v>
      </c>
      <c r="G7" s="9" t="s">
        <v>50</v>
      </c>
      <c r="H7" s="9" t="s">
        <v>47</v>
      </c>
      <c r="I7" s="11">
        <v>6.0</v>
      </c>
      <c r="J7" s="12">
        <v>0.0</v>
      </c>
      <c r="K7" s="9" t="s">
        <v>48</v>
      </c>
      <c r="L7" s="9" t="s">
        <v>48</v>
      </c>
      <c r="M7" s="9" t="s">
        <v>48</v>
      </c>
      <c r="N7" s="11">
        <v>2.0</v>
      </c>
    </row>
    <row r="8">
      <c r="A8" s="8">
        <v>7.0</v>
      </c>
      <c r="B8" s="9" t="s">
        <v>44</v>
      </c>
      <c r="C8" s="11">
        <v>170.0</v>
      </c>
      <c r="D8" s="11">
        <v>60.0</v>
      </c>
      <c r="E8" s="9" t="s">
        <v>45</v>
      </c>
      <c r="F8" s="11">
        <v>3.0</v>
      </c>
      <c r="G8" s="9" t="s">
        <v>50</v>
      </c>
      <c r="H8" s="9" t="s">
        <v>47</v>
      </c>
      <c r="I8" s="11">
        <v>8.0</v>
      </c>
      <c r="J8" s="11">
        <v>8.0</v>
      </c>
      <c r="K8" s="9" t="s">
        <v>48</v>
      </c>
      <c r="L8" s="9" t="s">
        <v>48</v>
      </c>
      <c r="M8" s="9" t="s">
        <v>48</v>
      </c>
      <c r="N8" s="11">
        <v>30.0</v>
      </c>
    </row>
    <row r="9">
      <c r="A9" s="8">
        <v>8.0</v>
      </c>
      <c r="B9" s="9" t="s">
        <v>54</v>
      </c>
      <c r="C9" s="11">
        <v>172.0</v>
      </c>
      <c r="D9" s="11">
        <v>72.0</v>
      </c>
      <c r="E9" s="9" t="s">
        <v>55</v>
      </c>
      <c r="F9" s="11">
        <v>2.0</v>
      </c>
      <c r="G9" s="9" t="s">
        <v>57</v>
      </c>
      <c r="H9" s="9" t="s">
        <v>47</v>
      </c>
      <c r="I9" s="11">
        <v>6.9</v>
      </c>
      <c r="J9" s="11">
        <v>8.9</v>
      </c>
      <c r="K9" s="9" t="s">
        <v>48</v>
      </c>
      <c r="L9" s="9" t="s">
        <v>48</v>
      </c>
      <c r="M9" s="9" t="s">
        <v>48</v>
      </c>
      <c r="N9" s="11">
        <v>3.0</v>
      </c>
    </row>
    <row r="10">
      <c r="A10" s="8">
        <v>9.0</v>
      </c>
      <c r="B10" s="9" t="s">
        <v>54</v>
      </c>
      <c r="C10" s="11">
        <v>159.0</v>
      </c>
      <c r="D10" s="11">
        <v>51.0</v>
      </c>
      <c r="E10" s="9" t="s">
        <v>45</v>
      </c>
      <c r="F10" s="11">
        <v>2.0</v>
      </c>
      <c r="G10" s="9" t="s">
        <v>50</v>
      </c>
      <c r="H10" s="9" t="s">
        <v>47</v>
      </c>
      <c r="I10" s="11">
        <v>7.3</v>
      </c>
      <c r="J10" s="11">
        <v>7.5</v>
      </c>
      <c r="K10" s="13"/>
      <c r="L10" s="13"/>
      <c r="M10" s="13"/>
      <c r="N10" s="12">
        <v>0.0</v>
      </c>
    </row>
    <row r="11">
      <c r="A11" s="8">
        <v>10.0</v>
      </c>
      <c r="B11" s="9" t="s">
        <v>44</v>
      </c>
      <c r="C11" s="11">
        <v>182.0</v>
      </c>
      <c r="D11" s="11">
        <v>76.0</v>
      </c>
      <c r="E11" s="9" t="s">
        <v>49</v>
      </c>
      <c r="F11" s="11">
        <v>2.0</v>
      </c>
      <c r="G11" s="9" t="s">
        <v>57</v>
      </c>
      <c r="H11" s="9" t="s">
        <v>47</v>
      </c>
      <c r="I11" s="11">
        <v>5.58</v>
      </c>
      <c r="J11" s="11">
        <v>5.2</v>
      </c>
      <c r="K11" s="9" t="s">
        <v>48</v>
      </c>
      <c r="L11" s="9" t="s">
        <v>48</v>
      </c>
      <c r="M11" s="9" t="s">
        <v>48</v>
      </c>
      <c r="N11" s="11">
        <v>8.0</v>
      </c>
    </row>
    <row r="12">
      <c r="A12" s="8">
        <v>11.0</v>
      </c>
      <c r="B12" s="9" t="s">
        <v>54</v>
      </c>
      <c r="C12" s="14">
        <v>1.6</v>
      </c>
      <c r="D12" s="11">
        <v>50.0</v>
      </c>
      <c r="E12" s="9" t="s">
        <v>45</v>
      </c>
      <c r="F12" s="11">
        <v>2.0</v>
      </c>
      <c r="G12" s="9" t="s">
        <v>57</v>
      </c>
      <c r="H12" s="9" t="s">
        <v>47</v>
      </c>
      <c r="I12" s="11">
        <v>6.0</v>
      </c>
      <c r="J12" s="11">
        <v>7.6</v>
      </c>
      <c r="K12" s="9" t="s">
        <v>48</v>
      </c>
      <c r="L12" s="9" t="s">
        <v>48</v>
      </c>
      <c r="M12" s="9" t="s">
        <v>53</v>
      </c>
      <c r="N12" s="11">
        <v>0.0</v>
      </c>
    </row>
    <row r="13">
      <c r="A13" s="8">
        <v>12.0</v>
      </c>
      <c r="B13" s="9" t="s">
        <v>44</v>
      </c>
      <c r="C13" s="11">
        <v>182.0</v>
      </c>
      <c r="D13" s="11">
        <v>65.0</v>
      </c>
      <c r="E13" s="9" t="s">
        <v>49</v>
      </c>
      <c r="F13" s="11">
        <v>3.0</v>
      </c>
      <c r="G13" s="9" t="s">
        <v>50</v>
      </c>
      <c r="H13" s="9" t="s">
        <v>47</v>
      </c>
      <c r="I13" s="11">
        <v>7.5</v>
      </c>
      <c r="J13" s="11">
        <v>9.303</v>
      </c>
      <c r="K13" s="9" t="s">
        <v>48</v>
      </c>
      <c r="L13" s="9" t="s">
        <v>48</v>
      </c>
      <c r="M13" s="9" t="s">
        <v>48</v>
      </c>
      <c r="N13" s="11">
        <v>10.0</v>
      </c>
    </row>
    <row r="14">
      <c r="A14" s="8">
        <v>13.0</v>
      </c>
      <c r="B14" s="9" t="s">
        <v>44</v>
      </c>
      <c r="C14" s="11">
        <v>180.0</v>
      </c>
      <c r="D14" s="11">
        <v>71.0</v>
      </c>
      <c r="E14" s="9" t="s">
        <v>49</v>
      </c>
      <c r="F14" s="11">
        <v>1.0</v>
      </c>
      <c r="G14" s="9" t="s">
        <v>50</v>
      </c>
      <c r="H14" s="9" t="s">
        <v>51</v>
      </c>
      <c r="I14" s="11">
        <v>5.5</v>
      </c>
      <c r="J14" s="11">
        <v>5.9</v>
      </c>
      <c r="K14" s="9" t="s">
        <v>48</v>
      </c>
      <c r="L14" s="9" t="s">
        <v>48</v>
      </c>
      <c r="M14" s="9" t="s">
        <v>48</v>
      </c>
      <c r="N14" s="11">
        <v>20.0</v>
      </c>
    </row>
    <row r="15">
      <c r="A15" s="8">
        <v>14.0</v>
      </c>
      <c r="B15" s="9" t="s">
        <v>44</v>
      </c>
      <c r="C15" s="11">
        <v>178.0</v>
      </c>
      <c r="D15" s="11">
        <v>76.0</v>
      </c>
      <c r="E15" s="9" t="s">
        <v>56</v>
      </c>
      <c r="F15" s="11">
        <v>2.0</v>
      </c>
      <c r="G15" s="9" t="s">
        <v>50</v>
      </c>
      <c r="H15" s="9" t="s">
        <v>51</v>
      </c>
      <c r="I15" s="11">
        <v>5.6</v>
      </c>
      <c r="J15" s="11">
        <v>6.8</v>
      </c>
      <c r="K15" s="9" t="s">
        <v>48</v>
      </c>
      <c r="L15" s="9" t="s">
        <v>48</v>
      </c>
      <c r="M15" s="9" t="s">
        <v>48</v>
      </c>
      <c r="N15" s="11">
        <v>7.0</v>
      </c>
    </row>
    <row r="16">
      <c r="A16" s="8">
        <v>15.0</v>
      </c>
      <c r="B16" s="9" t="s">
        <v>54</v>
      </c>
      <c r="C16" s="11">
        <v>163.0</v>
      </c>
      <c r="D16" s="11">
        <v>50.0</v>
      </c>
      <c r="E16" s="9" t="s">
        <v>58</v>
      </c>
      <c r="F16" s="11">
        <v>2.0</v>
      </c>
      <c r="G16" s="9" t="s">
        <v>50</v>
      </c>
      <c r="H16" s="9" t="s">
        <v>47</v>
      </c>
      <c r="I16" s="11">
        <v>6.0</v>
      </c>
      <c r="J16" s="11">
        <v>7.0</v>
      </c>
      <c r="K16" s="9" t="s">
        <v>48</v>
      </c>
      <c r="L16" s="9" t="s">
        <v>48</v>
      </c>
      <c r="M16" s="9" t="s">
        <v>48</v>
      </c>
      <c r="N16" s="11">
        <v>5.0</v>
      </c>
    </row>
    <row r="17">
      <c r="A17" s="8">
        <v>16.0</v>
      </c>
      <c r="B17" s="9" t="s">
        <v>44</v>
      </c>
      <c r="C17" s="11">
        <v>173.0</v>
      </c>
      <c r="D17" s="11">
        <v>69.0</v>
      </c>
      <c r="E17" s="9" t="s">
        <v>58</v>
      </c>
      <c r="F17" s="11">
        <v>2.0</v>
      </c>
      <c r="G17" s="9" t="s">
        <v>50</v>
      </c>
      <c r="H17" s="9" t="s">
        <v>51</v>
      </c>
      <c r="I17" s="11">
        <v>7.5</v>
      </c>
      <c r="J17" s="11">
        <v>7.4</v>
      </c>
      <c r="K17" s="9" t="s">
        <v>48</v>
      </c>
      <c r="L17" s="9" t="s">
        <v>48</v>
      </c>
      <c r="M17" s="9" t="s">
        <v>48</v>
      </c>
      <c r="N17" s="11">
        <v>35.0</v>
      </c>
    </row>
    <row r="18">
      <c r="A18" s="8">
        <v>17.0</v>
      </c>
      <c r="B18" s="9" t="s">
        <v>54</v>
      </c>
      <c r="C18" s="11">
        <v>160.0</v>
      </c>
      <c r="D18" s="11">
        <v>50.0</v>
      </c>
      <c r="E18" s="9" t="s">
        <v>45</v>
      </c>
      <c r="F18" s="11">
        <v>2.0</v>
      </c>
      <c r="G18" s="9" t="s">
        <v>50</v>
      </c>
      <c r="H18" s="9" t="s">
        <v>47</v>
      </c>
      <c r="I18" s="11">
        <v>6.0</v>
      </c>
      <c r="J18" s="11">
        <v>6.0</v>
      </c>
      <c r="K18" s="9" t="s">
        <v>53</v>
      </c>
      <c r="L18" s="9" t="s">
        <v>48</v>
      </c>
      <c r="M18" s="9" t="s">
        <v>48</v>
      </c>
      <c r="N18" s="11">
        <v>1.0</v>
      </c>
    </row>
    <row r="19">
      <c r="A19" s="8">
        <v>18.0</v>
      </c>
      <c r="B19" s="9" t="s">
        <v>44</v>
      </c>
      <c r="C19" s="11">
        <v>184.0</v>
      </c>
      <c r="D19" s="11">
        <v>68.0</v>
      </c>
      <c r="E19" s="9" t="s">
        <v>49</v>
      </c>
      <c r="F19" s="11">
        <v>2.0</v>
      </c>
      <c r="G19" s="9" t="s">
        <v>50</v>
      </c>
      <c r="H19" s="9" t="s">
        <v>47</v>
      </c>
      <c r="I19" s="11">
        <v>6.2</v>
      </c>
      <c r="J19" s="11">
        <v>8.0</v>
      </c>
      <c r="K19" s="9" t="s">
        <v>48</v>
      </c>
      <c r="L19" s="9" t="s">
        <v>48</v>
      </c>
      <c r="M19" s="9" t="s">
        <v>48</v>
      </c>
      <c r="N19" s="11">
        <v>4.0</v>
      </c>
    </row>
    <row r="20">
      <c r="A20" s="8">
        <v>19.0</v>
      </c>
      <c r="B20" s="9" t="s">
        <v>54</v>
      </c>
      <c r="C20" s="11">
        <v>162.0</v>
      </c>
      <c r="D20" s="11">
        <v>57.0</v>
      </c>
      <c r="E20" s="9" t="s">
        <v>45</v>
      </c>
      <c r="F20" s="11">
        <v>3.0</v>
      </c>
      <c r="G20" s="9" t="s">
        <v>50</v>
      </c>
      <c r="H20" s="9" t="s">
        <v>51</v>
      </c>
      <c r="I20" s="11">
        <v>6.8</v>
      </c>
      <c r="J20" s="11">
        <v>6.5</v>
      </c>
      <c r="K20" s="9" t="s">
        <v>48</v>
      </c>
      <c r="L20" s="9" t="s">
        <v>48</v>
      </c>
      <c r="M20" s="9" t="s">
        <v>48</v>
      </c>
      <c r="N20" s="11">
        <v>4.0</v>
      </c>
    </row>
    <row r="21" ht="15.75" customHeight="1">
      <c r="A21" s="8">
        <v>20.0</v>
      </c>
      <c r="B21" s="9" t="s">
        <v>54</v>
      </c>
      <c r="C21" s="11">
        <v>165.0</v>
      </c>
      <c r="D21" s="11">
        <v>56.0</v>
      </c>
      <c r="E21" s="9" t="s">
        <v>55</v>
      </c>
      <c r="F21" s="11">
        <v>3.0</v>
      </c>
      <c r="G21" s="9" t="s">
        <v>52</v>
      </c>
      <c r="H21" s="9" t="s">
        <v>47</v>
      </c>
      <c r="I21" s="11">
        <v>8.5</v>
      </c>
      <c r="J21" s="11">
        <v>10.5</v>
      </c>
      <c r="K21" s="9" t="s">
        <v>48</v>
      </c>
      <c r="L21" s="9" t="s">
        <v>48</v>
      </c>
      <c r="M21" s="9" t="s">
        <v>48</v>
      </c>
      <c r="N21" s="11">
        <v>14.0</v>
      </c>
    </row>
    <row r="22" ht="15.75" customHeight="1">
      <c r="A22" s="8">
        <v>21.0</v>
      </c>
      <c r="B22" s="9" t="s">
        <v>54</v>
      </c>
      <c r="C22" s="11">
        <v>165.0</v>
      </c>
      <c r="D22" s="11">
        <v>50.0</v>
      </c>
      <c r="E22" s="9" t="s">
        <v>45</v>
      </c>
      <c r="F22" s="11">
        <v>3.0</v>
      </c>
      <c r="G22" s="9" t="s">
        <v>52</v>
      </c>
      <c r="H22" s="9" t="s">
        <v>47</v>
      </c>
      <c r="I22" s="11">
        <v>9.5</v>
      </c>
      <c r="J22" s="11">
        <v>12.1</v>
      </c>
      <c r="K22" s="9" t="s">
        <v>48</v>
      </c>
      <c r="L22" s="9" t="s">
        <v>48</v>
      </c>
      <c r="M22" s="9" t="s">
        <v>48</v>
      </c>
      <c r="N22" s="11">
        <v>14.0</v>
      </c>
    </row>
    <row r="23" ht="15.75" customHeight="1">
      <c r="A23" s="8">
        <v>22.0</v>
      </c>
      <c r="B23" s="9" t="s">
        <v>44</v>
      </c>
      <c r="C23" s="11">
        <v>172.0</v>
      </c>
      <c r="D23" s="11">
        <v>60.0</v>
      </c>
      <c r="E23" s="9" t="s">
        <v>55</v>
      </c>
      <c r="F23" s="12">
        <v>0.0</v>
      </c>
      <c r="G23" s="9" t="s">
        <v>52</v>
      </c>
      <c r="H23" s="9" t="s">
        <v>51</v>
      </c>
      <c r="I23" s="11">
        <v>7.0</v>
      </c>
      <c r="J23" s="11">
        <v>7.8</v>
      </c>
      <c r="K23" s="9" t="s">
        <v>48</v>
      </c>
      <c r="L23" s="9" t="s">
        <v>48</v>
      </c>
      <c r="M23" s="9" t="s">
        <v>48</v>
      </c>
      <c r="N23" s="11">
        <v>20.0</v>
      </c>
    </row>
    <row r="24" ht="15.75" customHeight="1">
      <c r="A24" s="8">
        <v>23.0</v>
      </c>
      <c r="B24" s="9" t="s">
        <v>54</v>
      </c>
      <c r="C24" s="14">
        <v>1.73</v>
      </c>
      <c r="D24" s="11">
        <v>59.0</v>
      </c>
      <c r="E24" s="9" t="s">
        <v>49</v>
      </c>
      <c r="F24" s="11">
        <v>2.0</v>
      </c>
      <c r="G24" s="9" t="s">
        <v>50</v>
      </c>
      <c r="H24" s="9" t="s">
        <v>47</v>
      </c>
      <c r="I24" s="11">
        <v>9.2</v>
      </c>
      <c r="J24" s="11">
        <v>10.5</v>
      </c>
      <c r="K24" s="9" t="s">
        <v>48</v>
      </c>
      <c r="L24" s="9" t="s">
        <v>48</v>
      </c>
      <c r="M24" s="9" t="s">
        <v>48</v>
      </c>
      <c r="N24" s="11">
        <v>6.0</v>
      </c>
    </row>
    <row r="25" ht="15.75" customHeight="1">
      <c r="A25" s="8">
        <v>24.0</v>
      </c>
      <c r="B25" s="9" t="s">
        <v>54</v>
      </c>
      <c r="C25" s="11">
        <v>167.0</v>
      </c>
      <c r="D25" s="11">
        <v>61.0</v>
      </c>
      <c r="E25" s="9" t="s">
        <v>55</v>
      </c>
      <c r="F25" s="11">
        <v>3.0</v>
      </c>
      <c r="G25" s="9" t="s">
        <v>50</v>
      </c>
      <c r="H25" s="9" t="s">
        <v>51</v>
      </c>
      <c r="I25" s="11">
        <v>6.6</v>
      </c>
      <c r="J25" s="11">
        <v>8.2</v>
      </c>
      <c r="K25" s="9" t="s">
        <v>48</v>
      </c>
      <c r="L25" s="9" t="s">
        <v>48</v>
      </c>
      <c r="M25" s="9" t="s">
        <v>48</v>
      </c>
      <c r="N25" s="11">
        <v>14.0</v>
      </c>
    </row>
    <row r="26" ht="15.75" customHeight="1">
      <c r="A26" s="8">
        <v>25.0</v>
      </c>
      <c r="B26" s="9" t="s">
        <v>44</v>
      </c>
      <c r="C26" s="14">
        <v>1.74</v>
      </c>
      <c r="D26" s="11">
        <v>59.8</v>
      </c>
      <c r="E26" s="9" t="s">
        <v>55</v>
      </c>
      <c r="F26" s="11">
        <v>2.0</v>
      </c>
      <c r="G26" s="9" t="s">
        <v>50</v>
      </c>
      <c r="H26" s="8"/>
      <c r="I26" s="11">
        <v>7.56</v>
      </c>
      <c r="J26" s="11">
        <v>9.72</v>
      </c>
      <c r="K26" s="9" t="s">
        <v>48</v>
      </c>
      <c r="L26" s="9" t="s">
        <v>48</v>
      </c>
      <c r="M26" s="9" t="s">
        <v>48</v>
      </c>
      <c r="N26" s="11">
        <v>2.6</v>
      </c>
    </row>
    <row r="27" ht="15.75" customHeight="1">
      <c r="A27" s="8">
        <v>26.0</v>
      </c>
      <c r="B27" s="9" t="s">
        <v>44</v>
      </c>
      <c r="C27" s="11">
        <v>173.0</v>
      </c>
      <c r="D27" s="11">
        <v>73.0</v>
      </c>
      <c r="E27" s="9" t="s">
        <v>49</v>
      </c>
      <c r="F27" s="12">
        <v>0.0</v>
      </c>
      <c r="G27" s="9" t="s">
        <v>50</v>
      </c>
      <c r="H27" s="9" t="s">
        <v>51</v>
      </c>
      <c r="I27" s="11">
        <v>6.5</v>
      </c>
      <c r="J27" s="11">
        <v>6.375</v>
      </c>
      <c r="K27" s="9" t="s">
        <v>48</v>
      </c>
      <c r="L27" s="9" t="s">
        <v>48</v>
      </c>
      <c r="M27" s="9" t="s">
        <v>48</v>
      </c>
      <c r="N27" s="11">
        <v>25.0</v>
      </c>
    </row>
    <row r="28" ht="15.75" customHeight="1">
      <c r="A28" s="8">
        <v>27.0</v>
      </c>
      <c r="B28" s="9" t="s">
        <v>44</v>
      </c>
      <c r="C28" s="11">
        <v>171.0</v>
      </c>
      <c r="D28" s="11">
        <v>66.0</v>
      </c>
      <c r="E28" s="9" t="s">
        <v>55</v>
      </c>
      <c r="F28" s="11">
        <v>2.0</v>
      </c>
      <c r="G28" s="9" t="s">
        <v>57</v>
      </c>
      <c r="H28" s="9" t="s">
        <v>47</v>
      </c>
      <c r="I28" s="11">
        <v>6.7</v>
      </c>
      <c r="J28" s="11">
        <v>8.73</v>
      </c>
      <c r="K28" s="9" t="s">
        <v>48</v>
      </c>
      <c r="L28" s="9" t="s">
        <v>48</v>
      </c>
      <c r="M28" s="9" t="s">
        <v>48</v>
      </c>
      <c r="N28" s="11">
        <v>15.0</v>
      </c>
    </row>
    <row r="29" ht="15.75" customHeight="1">
      <c r="A29" s="8">
        <v>28.0</v>
      </c>
      <c r="B29" s="9" t="s">
        <v>44</v>
      </c>
      <c r="C29" s="11">
        <v>177.0</v>
      </c>
      <c r="D29" s="11">
        <v>65.0</v>
      </c>
      <c r="E29" s="9" t="s">
        <v>55</v>
      </c>
      <c r="F29" s="11">
        <v>2.0</v>
      </c>
      <c r="G29" s="9" t="s">
        <v>50</v>
      </c>
      <c r="H29" s="9" t="s">
        <v>51</v>
      </c>
      <c r="I29" s="11">
        <v>6.0</v>
      </c>
      <c r="J29" s="11">
        <v>8.0</v>
      </c>
      <c r="K29" s="9" t="s">
        <v>48</v>
      </c>
      <c r="L29" s="9" t="s">
        <v>48</v>
      </c>
      <c r="M29" s="9" t="s">
        <v>48</v>
      </c>
      <c r="N29" s="11">
        <v>5.0</v>
      </c>
    </row>
    <row r="30" ht="15.75" customHeight="1">
      <c r="A30" s="8">
        <v>29.0</v>
      </c>
      <c r="B30" s="9" t="s">
        <v>54</v>
      </c>
      <c r="C30" s="11">
        <v>170.0</v>
      </c>
      <c r="D30" s="11">
        <v>59.0</v>
      </c>
      <c r="E30" s="9" t="s">
        <v>55</v>
      </c>
      <c r="F30" s="11">
        <v>2.0</v>
      </c>
      <c r="G30" s="9" t="s">
        <v>50</v>
      </c>
      <c r="H30" s="9" t="s">
        <v>51</v>
      </c>
      <c r="I30" s="11">
        <v>7.0</v>
      </c>
      <c r="J30" s="11">
        <v>8.235</v>
      </c>
      <c r="K30" s="9" t="s">
        <v>53</v>
      </c>
      <c r="L30" s="9" t="s">
        <v>48</v>
      </c>
      <c r="M30" s="9" t="s">
        <v>48</v>
      </c>
      <c r="N30" s="11">
        <v>3.0</v>
      </c>
    </row>
    <row r="31" ht="15.75" customHeight="1">
      <c r="A31" s="8">
        <v>30.0</v>
      </c>
      <c r="B31" s="9" t="s">
        <v>54</v>
      </c>
      <c r="C31" s="11">
        <v>163.5</v>
      </c>
      <c r="D31" s="11">
        <v>42.5</v>
      </c>
      <c r="E31" s="9" t="s">
        <v>56</v>
      </c>
      <c r="F31" s="11">
        <v>1.0</v>
      </c>
      <c r="G31" s="9" t="s">
        <v>52</v>
      </c>
      <c r="H31" s="9" t="s">
        <v>47</v>
      </c>
      <c r="I31" s="11">
        <v>9.9</v>
      </c>
      <c r="J31" s="11">
        <v>12.5</v>
      </c>
      <c r="K31" s="9" t="s">
        <v>48</v>
      </c>
      <c r="L31" s="9" t="s">
        <v>48</v>
      </c>
      <c r="M31" s="9" t="s">
        <v>48</v>
      </c>
      <c r="N31" s="11">
        <v>8.0</v>
      </c>
    </row>
    <row r="32" ht="15.75" customHeight="1">
      <c r="A32" s="8">
        <v>31.0</v>
      </c>
      <c r="B32" s="9" t="s">
        <v>54</v>
      </c>
      <c r="C32" s="11">
        <v>150.0</v>
      </c>
      <c r="D32" s="11">
        <v>45.0</v>
      </c>
      <c r="E32" s="9" t="s">
        <v>45</v>
      </c>
      <c r="F32" s="11">
        <v>2.0</v>
      </c>
      <c r="G32" s="9" t="s">
        <v>50</v>
      </c>
      <c r="H32" s="9" t="s">
        <v>47</v>
      </c>
      <c r="I32" s="11">
        <v>6.5</v>
      </c>
      <c r="J32" s="11">
        <v>7.5</v>
      </c>
      <c r="K32" s="9" t="s">
        <v>48</v>
      </c>
      <c r="L32" s="9" t="s">
        <v>48</v>
      </c>
      <c r="M32" s="9" t="s">
        <v>48</v>
      </c>
      <c r="N32" s="11">
        <v>21.0</v>
      </c>
    </row>
    <row r="33" ht="15.75" customHeight="1">
      <c r="A33" s="8">
        <v>32.0</v>
      </c>
      <c r="B33" s="9" t="s">
        <v>44</v>
      </c>
      <c r="C33" s="11">
        <v>175.0</v>
      </c>
      <c r="D33" s="11">
        <v>65.0</v>
      </c>
      <c r="E33" s="9" t="s">
        <v>49</v>
      </c>
      <c r="F33" s="11">
        <v>2.0</v>
      </c>
      <c r="G33" s="9" t="s">
        <v>50</v>
      </c>
      <c r="H33" s="9" t="s">
        <v>47</v>
      </c>
      <c r="I33" s="11">
        <v>7.0</v>
      </c>
      <c r="J33" s="11">
        <v>9.0</v>
      </c>
      <c r="K33" s="9" t="s">
        <v>48</v>
      </c>
      <c r="L33" s="9" t="s">
        <v>48</v>
      </c>
      <c r="M33" s="9" t="s">
        <v>48</v>
      </c>
      <c r="N33" s="11">
        <v>30.0</v>
      </c>
    </row>
    <row r="34" ht="15.75" customHeight="1">
      <c r="A34" s="8">
        <v>33.0</v>
      </c>
      <c r="B34" s="9" t="s">
        <v>44</v>
      </c>
      <c r="C34" s="11">
        <v>180.0</v>
      </c>
      <c r="D34" s="11">
        <v>70.0</v>
      </c>
      <c r="E34" s="9" t="s">
        <v>45</v>
      </c>
      <c r="F34" s="11">
        <v>2.0</v>
      </c>
      <c r="G34" s="9" t="s">
        <v>57</v>
      </c>
      <c r="H34" s="9" t="s">
        <v>47</v>
      </c>
      <c r="I34" s="11">
        <v>7.0</v>
      </c>
      <c r="J34" s="11">
        <v>7.0</v>
      </c>
      <c r="K34" s="9" t="s">
        <v>48</v>
      </c>
      <c r="L34" s="9" t="s">
        <v>48</v>
      </c>
      <c r="M34" s="9" t="s">
        <v>48</v>
      </c>
      <c r="N34" s="11">
        <v>3.0</v>
      </c>
    </row>
    <row r="35" ht="15.75" customHeight="1">
      <c r="A35" s="8">
        <v>34.0</v>
      </c>
      <c r="B35" s="9" t="s">
        <v>44</v>
      </c>
      <c r="C35" s="11">
        <v>185.0</v>
      </c>
      <c r="D35" s="12">
        <v>0.0</v>
      </c>
      <c r="E35" s="13"/>
      <c r="F35" s="12">
        <v>0.0</v>
      </c>
      <c r="G35" s="13"/>
      <c r="H35" s="13"/>
      <c r="I35" s="12">
        <v>0.0</v>
      </c>
      <c r="J35" s="12">
        <v>0.0</v>
      </c>
      <c r="K35" s="13"/>
      <c r="L35" s="13"/>
      <c r="M35" s="13"/>
      <c r="N35" s="12">
        <v>0.0</v>
      </c>
    </row>
    <row r="36" ht="15.75" customHeight="1">
      <c r="A36" s="8">
        <v>35.0</v>
      </c>
      <c r="B36" s="9" t="s">
        <v>44</v>
      </c>
      <c r="C36" s="11">
        <v>172.0</v>
      </c>
      <c r="D36" s="11">
        <v>67.0</v>
      </c>
      <c r="E36" s="9" t="s">
        <v>55</v>
      </c>
      <c r="F36" s="11">
        <v>2.0</v>
      </c>
      <c r="G36" s="9" t="s">
        <v>50</v>
      </c>
      <c r="H36" s="9" t="s">
        <v>51</v>
      </c>
      <c r="I36" s="11">
        <v>5.5</v>
      </c>
      <c r="J36" s="11">
        <v>5.2</v>
      </c>
      <c r="K36" s="9" t="s">
        <v>48</v>
      </c>
      <c r="L36" s="9" t="s">
        <v>48</v>
      </c>
      <c r="M36" s="9" t="s">
        <v>48</v>
      </c>
      <c r="N36" s="11">
        <v>15.0</v>
      </c>
    </row>
    <row r="37" ht="15.75" customHeight="1">
      <c r="A37" s="8">
        <v>36.0</v>
      </c>
      <c r="B37" s="9" t="s">
        <v>54</v>
      </c>
      <c r="C37" s="11">
        <v>185.0</v>
      </c>
      <c r="D37" s="11">
        <v>85.0</v>
      </c>
      <c r="E37" s="9" t="s">
        <v>55</v>
      </c>
      <c r="F37" s="11">
        <v>2.0</v>
      </c>
      <c r="G37" s="9" t="s">
        <v>52</v>
      </c>
      <c r="H37" s="9" t="s">
        <v>47</v>
      </c>
      <c r="I37" s="11">
        <v>8.4</v>
      </c>
      <c r="J37" s="11">
        <v>8.9</v>
      </c>
      <c r="K37" s="9" t="s">
        <v>48</v>
      </c>
      <c r="L37" s="9" t="s">
        <v>48</v>
      </c>
      <c r="M37" s="9" t="s">
        <v>48</v>
      </c>
      <c r="N37" s="11">
        <v>5.0</v>
      </c>
    </row>
    <row r="38" ht="15.75" customHeight="1">
      <c r="A38" s="8">
        <v>37.0</v>
      </c>
      <c r="B38" s="9" t="s">
        <v>54</v>
      </c>
      <c r="C38" s="11">
        <v>167.0</v>
      </c>
      <c r="D38" s="11">
        <v>48.0</v>
      </c>
      <c r="E38" s="9" t="s">
        <v>45</v>
      </c>
      <c r="F38" s="11">
        <v>2.0</v>
      </c>
      <c r="G38" s="9" t="s">
        <v>50</v>
      </c>
      <c r="H38" s="9" t="s">
        <v>47</v>
      </c>
      <c r="I38" s="11">
        <v>6.21</v>
      </c>
      <c r="J38" s="11">
        <v>8.1</v>
      </c>
      <c r="K38" s="9" t="s">
        <v>48</v>
      </c>
      <c r="L38" s="9" t="s">
        <v>48</v>
      </c>
      <c r="M38" s="9" t="s">
        <v>48</v>
      </c>
      <c r="N38" s="11">
        <v>10.0</v>
      </c>
    </row>
    <row r="39" ht="15.75" customHeight="1">
      <c r="A39" s="8">
        <v>38.0</v>
      </c>
      <c r="B39" s="9" t="s">
        <v>54</v>
      </c>
      <c r="C39" s="11">
        <v>165.0</v>
      </c>
      <c r="D39" s="11">
        <v>57.0</v>
      </c>
      <c r="E39" s="9" t="s">
        <v>45</v>
      </c>
      <c r="F39" s="11">
        <v>3.0</v>
      </c>
      <c r="G39" s="9" t="s">
        <v>50</v>
      </c>
      <c r="H39" s="9" t="s">
        <v>47</v>
      </c>
      <c r="I39" s="11">
        <v>5.6</v>
      </c>
      <c r="J39" s="11">
        <v>7.9</v>
      </c>
      <c r="K39" s="9" t="s">
        <v>48</v>
      </c>
      <c r="L39" s="9" t="s">
        <v>48</v>
      </c>
      <c r="M39" s="9" t="s">
        <v>48</v>
      </c>
      <c r="N39" s="11">
        <v>10.0</v>
      </c>
    </row>
    <row r="40" ht="15.75" customHeight="1">
      <c r="A40" s="8">
        <v>39.0</v>
      </c>
      <c r="B40" s="9" t="s">
        <v>54</v>
      </c>
      <c r="C40" s="11">
        <v>165.0</v>
      </c>
      <c r="D40" s="11">
        <v>58.0</v>
      </c>
      <c r="E40" s="9" t="s">
        <v>55</v>
      </c>
      <c r="F40" s="11">
        <v>3.0</v>
      </c>
      <c r="G40" s="9" t="s">
        <v>50</v>
      </c>
      <c r="H40" s="9" t="s">
        <v>47</v>
      </c>
      <c r="I40" s="11">
        <v>6.1</v>
      </c>
      <c r="J40" s="11">
        <v>6.69</v>
      </c>
      <c r="K40" s="9" t="s">
        <v>48</v>
      </c>
      <c r="L40" s="9" t="s">
        <v>48</v>
      </c>
      <c r="M40" s="9" t="s">
        <v>48</v>
      </c>
      <c r="N40" s="11">
        <v>10.0</v>
      </c>
    </row>
    <row r="41" ht="15.75" customHeight="1">
      <c r="A41" s="8">
        <v>40.0</v>
      </c>
      <c r="B41" s="9" t="s">
        <v>54</v>
      </c>
      <c r="C41" s="11">
        <v>163.0</v>
      </c>
      <c r="D41" s="11">
        <v>58.0</v>
      </c>
      <c r="E41" s="9" t="s">
        <v>55</v>
      </c>
      <c r="F41" s="11">
        <v>3.0</v>
      </c>
      <c r="G41" s="9" t="s">
        <v>50</v>
      </c>
      <c r="H41" s="9" t="s">
        <v>47</v>
      </c>
      <c r="I41" s="11">
        <v>7.8</v>
      </c>
      <c r="J41" s="11">
        <v>10.9</v>
      </c>
      <c r="K41" s="9" t="s">
        <v>48</v>
      </c>
      <c r="L41" s="9" t="s">
        <v>48</v>
      </c>
      <c r="M41" s="9" t="s">
        <v>48</v>
      </c>
      <c r="N41" s="11">
        <v>15.0</v>
      </c>
    </row>
    <row r="42" ht="15.75" customHeight="1">
      <c r="A42" s="8">
        <v>41.0</v>
      </c>
      <c r="B42" s="9" t="s">
        <v>44</v>
      </c>
      <c r="C42" s="11">
        <v>183.0</v>
      </c>
      <c r="D42" s="11">
        <v>78.0</v>
      </c>
      <c r="E42" s="9" t="s">
        <v>56</v>
      </c>
      <c r="F42" s="11">
        <v>1.0</v>
      </c>
      <c r="G42" s="9" t="s">
        <v>50</v>
      </c>
      <c r="H42" s="9" t="s">
        <v>51</v>
      </c>
      <c r="I42" s="11">
        <v>7.1</v>
      </c>
      <c r="J42" s="11">
        <v>9.2</v>
      </c>
      <c r="K42" s="9" t="s">
        <v>48</v>
      </c>
      <c r="L42" s="9" t="s">
        <v>48</v>
      </c>
      <c r="M42" s="9" t="s">
        <v>48</v>
      </c>
      <c r="N42" s="11">
        <v>35.0</v>
      </c>
    </row>
    <row r="43" ht="15.75" customHeight="1">
      <c r="A43" s="8">
        <v>42.0</v>
      </c>
      <c r="B43" s="9" t="s">
        <v>54</v>
      </c>
      <c r="C43" s="11">
        <v>165.0</v>
      </c>
      <c r="D43" s="11">
        <v>50.0</v>
      </c>
      <c r="E43" s="9" t="s">
        <v>55</v>
      </c>
      <c r="F43" s="11">
        <v>5.0</v>
      </c>
      <c r="G43" s="9" t="s">
        <v>50</v>
      </c>
      <c r="H43" s="9" t="s">
        <v>47</v>
      </c>
      <c r="I43" s="11">
        <v>6.01</v>
      </c>
      <c r="J43" s="11">
        <v>5.3</v>
      </c>
      <c r="K43" s="9" t="s">
        <v>48</v>
      </c>
      <c r="L43" s="9" t="s">
        <v>48</v>
      </c>
      <c r="M43" s="9" t="s">
        <v>48</v>
      </c>
      <c r="N43" s="11">
        <v>20.0</v>
      </c>
    </row>
    <row r="44" ht="15.75" customHeight="1">
      <c r="A44" s="8">
        <v>43.0</v>
      </c>
      <c r="B44" s="9" t="s">
        <v>44</v>
      </c>
      <c r="C44" s="11">
        <v>180.0</v>
      </c>
      <c r="D44" s="11">
        <v>71.0</v>
      </c>
      <c r="E44" s="9" t="s">
        <v>56</v>
      </c>
      <c r="F44" s="11">
        <v>2.0</v>
      </c>
      <c r="G44" s="9" t="s">
        <v>50</v>
      </c>
      <c r="H44" s="9" t="s">
        <v>47</v>
      </c>
      <c r="I44" s="11">
        <v>5.6</v>
      </c>
      <c r="J44" s="11">
        <v>6.5</v>
      </c>
      <c r="K44" s="9" t="s">
        <v>48</v>
      </c>
      <c r="L44" s="9" t="s">
        <v>48</v>
      </c>
      <c r="M44" s="9" t="s">
        <v>48</v>
      </c>
      <c r="N44" s="11">
        <v>14.0</v>
      </c>
    </row>
    <row r="45" ht="15.75" customHeight="1">
      <c r="A45" s="8">
        <v>44.0</v>
      </c>
      <c r="B45" s="9" t="s">
        <v>44</v>
      </c>
      <c r="C45" s="11">
        <v>171.0</v>
      </c>
      <c r="D45" s="11">
        <v>70.0</v>
      </c>
      <c r="E45" s="9" t="s">
        <v>49</v>
      </c>
      <c r="F45" s="11">
        <v>1.0</v>
      </c>
      <c r="G45" s="9" t="s">
        <v>52</v>
      </c>
      <c r="H45" s="9" t="s">
        <v>47</v>
      </c>
      <c r="I45" s="11">
        <v>6.8</v>
      </c>
      <c r="J45" s="11">
        <v>9.2</v>
      </c>
      <c r="K45" s="9" t="s">
        <v>48</v>
      </c>
      <c r="L45" s="9" t="s">
        <v>48</v>
      </c>
      <c r="M45" s="9" t="s">
        <v>48</v>
      </c>
      <c r="N45" s="11">
        <v>10.0</v>
      </c>
    </row>
    <row r="46" ht="15.75" customHeight="1">
      <c r="A46" s="8">
        <v>45.0</v>
      </c>
      <c r="B46" s="9" t="s">
        <v>54</v>
      </c>
      <c r="C46" s="14">
        <v>1.65</v>
      </c>
      <c r="D46" s="11">
        <v>60.0</v>
      </c>
      <c r="E46" s="9" t="s">
        <v>45</v>
      </c>
      <c r="F46" s="11">
        <v>2.0</v>
      </c>
      <c r="G46" s="9" t="s">
        <v>46</v>
      </c>
      <c r="H46" s="9" t="s">
        <v>51</v>
      </c>
      <c r="I46" s="11">
        <v>5.6</v>
      </c>
      <c r="J46" s="11">
        <v>6.8</v>
      </c>
      <c r="K46" s="9" t="s">
        <v>48</v>
      </c>
      <c r="L46" s="9" t="s">
        <v>48</v>
      </c>
      <c r="M46" s="9" t="s">
        <v>48</v>
      </c>
      <c r="N46" s="11">
        <v>5.0</v>
      </c>
    </row>
    <row r="47" ht="15.75" customHeight="1">
      <c r="A47" s="8">
        <v>46.0</v>
      </c>
      <c r="B47" s="9" t="s">
        <v>44</v>
      </c>
      <c r="C47" s="11">
        <v>186.0</v>
      </c>
      <c r="D47" s="11">
        <v>71.0</v>
      </c>
      <c r="E47" s="9" t="s">
        <v>49</v>
      </c>
      <c r="F47" s="12">
        <v>0.0</v>
      </c>
      <c r="G47" s="9" t="s">
        <v>50</v>
      </c>
      <c r="H47" s="9" t="s">
        <v>51</v>
      </c>
      <c r="I47" s="11">
        <v>7.0</v>
      </c>
      <c r="J47" s="11">
        <v>6.0</v>
      </c>
      <c r="K47" s="9" t="s">
        <v>48</v>
      </c>
      <c r="L47" s="9" t="s">
        <v>48</v>
      </c>
      <c r="M47" s="9" t="s">
        <v>48</v>
      </c>
      <c r="N47" s="11">
        <v>6.0</v>
      </c>
    </row>
    <row r="48" ht="15.75" customHeight="1">
      <c r="A48" s="8">
        <v>47.0</v>
      </c>
      <c r="B48" s="9" t="s">
        <v>44</v>
      </c>
      <c r="C48" s="14">
        <v>1.87</v>
      </c>
      <c r="D48" s="11">
        <v>82.0</v>
      </c>
      <c r="E48" s="9" t="s">
        <v>56</v>
      </c>
      <c r="F48" s="11">
        <v>3.0</v>
      </c>
      <c r="G48" s="9" t="s">
        <v>50</v>
      </c>
      <c r="H48" s="9" t="s">
        <v>47</v>
      </c>
      <c r="I48" s="11">
        <v>5.9</v>
      </c>
      <c r="J48" s="12">
        <v>0.0</v>
      </c>
      <c r="K48" s="9" t="s">
        <v>48</v>
      </c>
      <c r="L48" s="9" t="s">
        <v>48</v>
      </c>
      <c r="M48" s="9" t="s">
        <v>48</v>
      </c>
      <c r="N48" s="11">
        <v>2.0</v>
      </c>
    </row>
    <row r="49" ht="15.75" customHeight="1">
      <c r="A49" s="8">
        <v>48.0</v>
      </c>
      <c r="B49" s="9" t="s">
        <v>44</v>
      </c>
      <c r="C49" s="14">
        <v>1.75</v>
      </c>
      <c r="D49" s="11">
        <v>70.0</v>
      </c>
      <c r="E49" s="9" t="s">
        <v>49</v>
      </c>
      <c r="F49" s="11">
        <v>6.0</v>
      </c>
      <c r="G49" s="9" t="s">
        <v>50</v>
      </c>
      <c r="H49" s="9" t="s">
        <v>51</v>
      </c>
      <c r="I49" s="11">
        <v>5.0</v>
      </c>
      <c r="J49" s="11">
        <v>7.0</v>
      </c>
      <c r="K49" s="9" t="s">
        <v>48</v>
      </c>
      <c r="L49" s="9" t="s">
        <v>48</v>
      </c>
      <c r="M49" s="9" t="s">
        <v>48</v>
      </c>
      <c r="N49" s="11">
        <v>70.0</v>
      </c>
    </row>
    <row r="50" ht="15.75" customHeight="1">
      <c r="A50" s="8">
        <v>49.0</v>
      </c>
      <c r="B50" s="9" t="s">
        <v>44</v>
      </c>
      <c r="C50" s="11">
        <v>180.0</v>
      </c>
      <c r="D50" s="11">
        <v>71.0</v>
      </c>
      <c r="E50" s="9" t="s">
        <v>55</v>
      </c>
      <c r="F50" s="11">
        <v>2.0</v>
      </c>
      <c r="G50" s="9" t="s">
        <v>46</v>
      </c>
      <c r="H50" s="9" t="s">
        <v>47</v>
      </c>
      <c r="I50" s="11">
        <v>8.0</v>
      </c>
      <c r="J50" s="11">
        <v>9.0</v>
      </c>
      <c r="K50" s="9" t="s">
        <v>48</v>
      </c>
      <c r="L50" s="9" t="s">
        <v>48</v>
      </c>
      <c r="M50" s="9" t="s">
        <v>48</v>
      </c>
      <c r="N50" s="11">
        <v>10.0</v>
      </c>
    </row>
    <row r="51" ht="15.75" customHeight="1">
      <c r="A51" s="8">
        <v>50.0</v>
      </c>
      <c r="B51" s="9" t="s">
        <v>44</v>
      </c>
      <c r="C51" s="14">
        <v>1.8</v>
      </c>
      <c r="D51" s="11">
        <v>70.0</v>
      </c>
      <c r="E51" s="9" t="s">
        <v>49</v>
      </c>
      <c r="F51" s="11">
        <v>2.0</v>
      </c>
      <c r="G51" s="9" t="s">
        <v>50</v>
      </c>
      <c r="H51" s="9" t="s">
        <v>47</v>
      </c>
      <c r="I51" s="11">
        <v>6.2</v>
      </c>
      <c r="J51" s="11">
        <v>8.1</v>
      </c>
      <c r="K51" s="9" t="s">
        <v>48</v>
      </c>
      <c r="L51" s="9" t="s">
        <v>48</v>
      </c>
      <c r="M51" s="9" t="s">
        <v>48</v>
      </c>
      <c r="N51" s="11">
        <v>3.0</v>
      </c>
    </row>
    <row r="52" ht="15.75" customHeight="1">
      <c r="A52" s="8">
        <v>51.0</v>
      </c>
      <c r="B52" s="9" t="s">
        <v>44</v>
      </c>
      <c r="C52" s="11">
        <v>168.0</v>
      </c>
      <c r="D52" s="11">
        <v>65.0</v>
      </c>
      <c r="E52" s="9" t="s">
        <v>49</v>
      </c>
      <c r="F52" s="11">
        <v>2.0</v>
      </c>
      <c r="G52" s="9" t="s">
        <v>50</v>
      </c>
      <c r="H52" s="9" t="s">
        <v>51</v>
      </c>
      <c r="I52" s="11">
        <v>5.3</v>
      </c>
      <c r="J52" s="11">
        <v>7.2</v>
      </c>
      <c r="K52" s="9" t="s">
        <v>48</v>
      </c>
      <c r="L52" s="9" t="s">
        <v>48</v>
      </c>
      <c r="M52" s="9" t="s">
        <v>48</v>
      </c>
      <c r="N52" s="11">
        <v>7.0</v>
      </c>
    </row>
    <row r="53" ht="15.75" customHeight="1">
      <c r="A53" s="8">
        <v>52.0</v>
      </c>
      <c r="B53" s="9" t="s">
        <v>44</v>
      </c>
      <c r="C53" s="11">
        <v>190.0</v>
      </c>
      <c r="D53" s="11">
        <v>75.0</v>
      </c>
      <c r="E53" s="9" t="s">
        <v>55</v>
      </c>
      <c r="F53" s="11">
        <v>3.0</v>
      </c>
      <c r="G53" s="9" t="s">
        <v>46</v>
      </c>
      <c r="H53" s="9" t="s">
        <v>47</v>
      </c>
      <c r="I53" s="11">
        <v>6.72</v>
      </c>
      <c r="J53" s="11">
        <v>7.43</v>
      </c>
      <c r="K53" s="9" t="s">
        <v>48</v>
      </c>
      <c r="L53" s="9" t="s">
        <v>48</v>
      </c>
      <c r="M53" s="9" t="s">
        <v>48</v>
      </c>
      <c r="N53" s="11">
        <v>30.0</v>
      </c>
    </row>
    <row r="54" ht="15.75" customHeight="1">
      <c r="A54" s="8">
        <v>53.0</v>
      </c>
      <c r="B54" s="9" t="s">
        <v>54</v>
      </c>
      <c r="C54" s="11">
        <v>187.0</v>
      </c>
      <c r="D54" s="11">
        <v>70.0</v>
      </c>
      <c r="E54" s="9" t="s">
        <v>55</v>
      </c>
      <c r="F54" s="11">
        <v>2.0</v>
      </c>
      <c r="G54" s="9" t="s">
        <v>52</v>
      </c>
      <c r="H54" s="9" t="s">
        <v>47</v>
      </c>
      <c r="I54" s="11">
        <v>6.0</v>
      </c>
      <c r="J54" s="11">
        <v>10.0</v>
      </c>
      <c r="K54" s="9" t="s">
        <v>48</v>
      </c>
      <c r="L54" s="9" t="s">
        <v>48</v>
      </c>
      <c r="M54" s="9" t="s">
        <v>48</v>
      </c>
      <c r="N54" s="11">
        <v>1.0</v>
      </c>
    </row>
    <row r="55" ht="15.75" customHeight="1">
      <c r="A55" s="8">
        <v>54.0</v>
      </c>
      <c r="B55" s="9" t="s">
        <v>44</v>
      </c>
      <c r="C55" s="11">
        <v>169.0</v>
      </c>
      <c r="D55" s="11">
        <v>72.0</v>
      </c>
      <c r="E55" s="9" t="s">
        <v>55</v>
      </c>
      <c r="F55" s="11">
        <v>1.0</v>
      </c>
      <c r="G55" s="9" t="s">
        <v>46</v>
      </c>
      <c r="H55" s="9" t="s">
        <v>51</v>
      </c>
      <c r="I55" s="11">
        <v>6.7</v>
      </c>
      <c r="J55" s="11">
        <v>8.5</v>
      </c>
      <c r="K55" s="9" t="s">
        <v>48</v>
      </c>
      <c r="L55" s="9" t="s">
        <v>48</v>
      </c>
      <c r="M55" s="9" t="s">
        <v>48</v>
      </c>
      <c r="N55" s="11">
        <v>10.0</v>
      </c>
    </row>
    <row r="56" ht="15.75" customHeight="1">
      <c r="A56" s="8">
        <v>55.0</v>
      </c>
      <c r="B56" s="9" t="s">
        <v>44</v>
      </c>
      <c r="C56" s="11">
        <v>175.0</v>
      </c>
      <c r="D56" s="11">
        <v>73.0</v>
      </c>
      <c r="E56" s="9" t="s">
        <v>49</v>
      </c>
      <c r="F56" s="11">
        <v>2.0</v>
      </c>
      <c r="G56" s="9" t="s">
        <v>46</v>
      </c>
      <c r="H56" s="9" t="s">
        <v>47</v>
      </c>
      <c r="I56" s="11">
        <v>7.0</v>
      </c>
      <c r="J56" s="11">
        <v>9.8</v>
      </c>
      <c r="K56" s="9" t="s">
        <v>48</v>
      </c>
      <c r="L56" s="9" t="s">
        <v>48</v>
      </c>
      <c r="M56" s="9" t="s">
        <v>48</v>
      </c>
      <c r="N56" s="11">
        <v>3.0</v>
      </c>
    </row>
    <row r="57" ht="15.75" customHeight="1">
      <c r="A57" s="8">
        <v>56.0</v>
      </c>
      <c r="B57" s="9" t="s">
        <v>44</v>
      </c>
      <c r="C57" s="11">
        <v>165.0</v>
      </c>
      <c r="D57" s="11">
        <v>75.0</v>
      </c>
      <c r="E57" s="9" t="s">
        <v>45</v>
      </c>
      <c r="F57" s="11">
        <v>3.0</v>
      </c>
      <c r="G57" s="9" t="s">
        <v>50</v>
      </c>
      <c r="H57" s="9" t="s">
        <v>47</v>
      </c>
      <c r="I57" s="12">
        <v>0.0</v>
      </c>
      <c r="J57" s="12">
        <v>0.0</v>
      </c>
      <c r="K57" s="9" t="s">
        <v>48</v>
      </c>
      <c r="L57" s="9" t="s">
        <v>48</v>
      </c>
      <c r="M57" s="9" t="s">
        <v>53</v>
      </c>
      <c r="N57" s="11">
        <v>0.0</v>
      </c>
    </row>
    <row r="58" ht="15.75" customHeight="1">
      <c r="A58" s="8">
        <v>57.0</v>
      </c>
      <c r="B58" s="9" t="s">
        <v>44</v>
      </c>
      <c r="C58" s="11">
        <v>176.0</v>
      </c>
      <c r="D58" s="11">
        <v>90.0</v>
      </c>
      <c r="E58" s="9" t="s">
        <v>55</v>
      </c>
      <c r="F58" s="11">
        <v>2.0</v>
      </c>
      <c r="G58" s="9" t="s">
        <v>57</v>
      </c>
      <c r="H58" s="9" t="s">
        <v>47</v>
      </c>
      <c r="I58" s="11">
        <v>6.2</v>
      </c>
      <c r="J58" s="11">
        <v>7.4</v>
      </c>
      <c r="K58" s="9" t="s">
        <v>48</v>
      </c>
      <c r="L58" s="9" t="s">
        <v>48</v>
      </c>
      <c r="M58" s="9" t="s">
        <v>48</v>
      </c>
      <c r="N58" s="11">
        <v>15.0</v>
      </c>
    </row>
    <row r="59" ht="15.75" customHeight="1">
      <c r="A59" s="8">
        <v>58.0</v>
      </c>
      <c r="B59" s="9" t="s">
        <v>44</v>
      </c>
      <c r="C59" s="11">
        <v>178.0</v>
      </c>
      <c r="D59" s="11">
        <v>67.5</v>
      </c>
      <c r="E59" s="9" t="s">
        <v>55</v>
      </c>
      <c r="F59" s="11">
        <v>2.0</v>
      </c>
      <c r="G59" s="9" t="s">
        <v>57</v>
      </c>
      <c r="H59" s="9" t="s">
        <v>47</v>
      </c>
      <c r="I59" s="11">
        <v>5.7</v>
      </c>
      <c r="J59" s="11">
        <v>6.3</v>
      </c>
      <c r="K59" s="9" t="s">
        <v>48</v>
      </c>
      <c r="L59" s="9" t="s">
        <v>48</v>
      </c>
      <c r="M59" s="9" t="s">
        <v>48</v>
      </c>
      <c r="N59" s="11">
        <v>3.0</v>
      </c>
    </row>
    <row r="60" ht="15.75" customHeight="1">
      <c r="A60" s="8">
        <v>59.0</v>
      </c>
      <c r="B60" s="9" t="s">
        <v>44</v>
      </c>
      <c r="C60" s="11">
        <v>165.0</v>
      </c>
      <c r="D60" s="11">
        <v>70.0</v>
      </c>
      <c r="E60" s="9" t="s">
        <v>45</v>
      </c>
      <c r="F60" s="11">
        <v>3.0</v>
      </c>
      <c r="G60" s="9" t="s">
        <v>50</v>
      </c>
      <c r="H60" s="9" t="s">
        <v>47</v>
      </c>
      <c r="I60" s="11">
        <v>7.7</v>
      </c>
      <c r="J60" s="11">
        <v>9.1</v>
      </c>
      <c r="K60" s="9" t="s">
        <v>48</v>
      </c>
      <c r="L60" s="9" t="s">
        <v>53</v>
      </c>
      <c r="M60" s="9" t="s">
        <v>48</v>
      </c>
      <c r="N60" s="11">
        <v>5.0</v>
      </c>
    </row>
    <row r="61" ht="15.75" customHeight="1">
      <c r="A61" s="8">
        <v>60.0</v>
      </c>
      <c r="B61" s="9" t="s">
        <v>44</v>
      </c>
      <c r="C61" s="11">
        <v>174.0</v>
      </c>
      <c r="D61" s="11">
        <v>70.0</v>
      </c>
      <c r="E61" s="9" t="s">
        <v>45</v>
      </c>
      <c r="F61" s="12">
        <v>0.0</v>
      </c>
      <c r="G61" s="9" t="s">
        <v>50</v>
      </c>
      <c r="H61" s="9" t="s">
        <v>51</v>
      </c>
      <c r="I61" s="11">
        <v>8.5</v>
      </c>
      <c r="J61" s="11">
        <v>11.1</v>
      </c>
      <c r="K61" s="9" t="s">
        <v>48</v>
      </c>
      <c r="L61" s="9" t="s">
        <v>48</v>
      </c>
      <c r="M61" s="9" t="s">
        <v>48</v>
      </c>
      <c r="N61" s="11">
        <v>1.0</v>
      </c>
    </row>
    <row r="62" ht="15.75" customHeight="1">
      <c r="A62" s="8">
        <v>61.0</v>
      </c>
      <c r="B62" s="9" t="s">
        <v>54</v>
      </c>
      <c r="C62" s="11">
        <v>175.0</v>
      </c>
      <c r="D62" s="11">
        <v>70.0</v>
      </c>
      <c r="E62" s="9" t="s">
        <v>45</v>
      </c>
      <c r="F62" s="11">
        <v>2.0</v>
      </c>
      <c r="G62" s="9" t="s">
        <v>46</v>
      </c>
      <c r="H62" s="9" t="s">
        <v>47</v>
      </c>
      <c r="I62" s="11">
        <v>9.3</v>
      </c>
      <c r="J62" s="11">
        <v>8.9</v>
      </c>
      <c r="K62" s="9" t="s">
        <v>48</v>
      </c>
      <c r="L62" s="9" t="s">
        <v>48</v>
      </c>
      <c r="M62" s="9" t="s">
        <v>48</v>
      </c>
      <c r="N62" s="11">
        <v>7.0</v>
      </c>
    </row>
    <row r="63" ht="15.75" customHeight="1">
      <c r="A63" s="8">
        <v>62.0</v>
      </c>
      <c r="B63" s="13"/>
      <c r="C63" s="11">
        <v>166.0</v>
      </c>
      <c r="D63" s="12">
        <v>0.0</v>
      </c>
      <c r="E63" s="13"/>
      <c r="F63" s="12">
        <v>0.0</v>
      </c>
      <c r="G63" s="13"/>
      <c r="H63" s="13"/>
      <c r="I63" s="12">
        <v>0.0</v>
      </c>
      <c r="J63" s="12">
        <v>0.0</v>
      </c>
      <c r="K63" s="13"/>
      <c r="L63" s="13"/>
      <c r="M63" s="13"/>
      <c r="N63" s="12">
        <v>0.0</v>
      </c>
    </row>
    <row r="64" ht="15.75" customHeight="1">
      <c r="A64" s="8">
        <v>63.0</v>
      </c>
      <c r="B64" s="9" t="s">
        <v>54</v>
      </c>
      <c r="C64" s="11">
        <v>158.0</v>
      </c>
      <c r="D64" s="11">
        <v>45.0</v>
      </c>
      <c r="E64" s="9" t="s">
        <v>45</v>
      </c>
      <c r="F64" s="11">
        <v>1.0</v>
      </c>
      <c r="G64" s="9" t="s">
        <v>52</v>
      </c>
      <c r="H64" s="9" t="s">
        <v>47</v>
      </c>
      <c r="I64" s="11">
        <v>8.63</v>
      </c>
      <c r="J64" s="11">
        <v>12.4</v>
      </c>
      <c r="K64" s="9" t="s">
        <v>48</v>
      </c>
      <c r="L64" s="9" t="s">
        <v>48</v>
      </c>
      <c r="M64" s="9" t="s">
        <v>48</v>
      </c>
      <c r="N64" s="11">
        <v>2.0</v>
      </c>
    </row>
    <row r="65" ht="15.75" customHeight="1">
      <c r="A65" s="8">
        <v>64.0</v>
      </c>
      <c r="B65" s="9" t="s">
        <v>44</v>
      </c>
      <c r="C65" s="11">
        <v>175.0</v>
      </c>
      <c r="D65" s="11">
        <v>80.0</v>
      </c>
      <c r="E65" s="9" t="s">
        <v>55</v>
      </c>
      <c r="F65" s="11">
        <v>4.0</v>
      </c>
      <c r="G65" s="9" t="s">
        <v>50</v>
      </c>
      <c r="H65" s="9" t="s">
        <v>47</v>
      </c>
      <c r="I65" s="11">
        <v>6.5</v>
      </c>
      <c r="J65" s="11">
        <v>6.5</v>
      </c>
      <c r="K65" s="9" t="s">
        <v>48</v>
      </c>
      <c r="L65" s="9" t="s">
        <v>53</v>
      </c>
      <c r="M65" s="9" t="s">
        <v>48</v>
      </c>
      <c r="N65" s="11">
        <v>25.0</v>
      </c>
    </row>
    <row r="66" ht="15.75" customHeight="1">
      <c r="A66" s="8">
        <v>65.0</v>
      </c>
      <c r="B66" s="9" t="s">
        <v>44</v>
      </c>
      <c r="C66" s="11">
        <v>190.0</v>
      </c>
      <c r="D66" s="11">
        <v>80.0</v>
      </c>
      <c r="E66" s="9" t="s">
        <v>55</v>
      </c>
      <c r="F66" s="11">
        <v>2.0</v>
      </c>
      <c r="G66" s="9" t="s">
        <v>50</v>
      </c>
      <c r="H66" s="9" t="s">
        <v>47</v>
      </c>
      <c r="I66" s="11">
        <v>8.0</v>
      </c>
      <c r="J66" s="11">
        <v>9.0</v>
      </c>
      <c r="K66" s="9" t="s">
        <v>48</v>
      </c>
      <c r="L66" s="9" t="s">
        <v>48</v>
      </c>
      <c r="M66" s="9" t="s">
        <v>48</v>
      </c>
      <c r="N66" s="11">
        <v>30.0</v>
      </c>
    </row>
    <row r="67" ht="15.75" customHeight="1">
      <c r="A67" s="8">
        <v>66.0</v>
      </c>
      <c r="B67" s="9" t="s">
        <v>44</v>
      </c>
      <c r="C67" s="14">
        <v>1.78</v>
      </c>
      <c r="D67" s="11">
        <v>72.0</v>
      </c>
      <c r="E67" s="9" t="s">
        <v>49</v>
      </c>
      <c r="F67" s="11">
        <v>2.0</v>
      </c>
      <c r="G67" s="9" t="s">
        <v>50</v>
      </c>
      <c r="H67" s="9" t="s">
        <v>47</v>
      </c>
      <c r="I67" s="11">
        <v>7.1</v>
      </c>
      <c r="J67" s="11">
        <v>6.6</v>
      </c>
      <c r="K67" s="9" t="s">
        <v>48</v>
      </c>
      <c r="L67" s="9" t="s">
        <v>48</v>
      </c>
      <c r="M67" s="9" t="s">
        <v>48</v>
      </c>
      <c r="N67" s="11">
        <v>35.0</v>
      </c>
    </row>
    <row r="68" ht="15.75" customHeight="1">
      <c r="A68" s="8">
        <v>67.0</v>
      </c>
      <c r="B68" s="9" t="s">
        <v>44</v>
      </c>
      <c r="C68" s="11">
        <v>166.0</v>
      </c>
      <c r="D68" s="11">
        <v>62.0</v>
      </c>
      <c r="E68" s="9" t="s">
        <v>56</v>
      </c>
      <c r="F68" s="12">
        <v>0.0</v>
      </c>
      <c r="G68" s="9" t="s">
        <v>52</v>
      </c>
      <c r="H68" s="9" t="s">
        <v>47</v>
      </c>
      <c r="I68" s="11">
        <v>9.4</v>
      </c>
      <c r="J68" s="11">
        <v>10.7</v>
      </c>
      <c r="K68" s="9" t="s">
        <v>48</v>
      </c>
      <c r="L68" s="9" t="s">
        <v>48</v>
      </c>
      <c r="M68" s="9" t="s">
        <v>48</v>
      </c>
      <c r="N68" s="11">
        <v>35.0</v>
      </c>
    </row>
    <row r="69" ht="15.75" customHeight="1">
      <c r="A69" s="8">
        <v>68.0</v>
      </c>
      <c r="B69" s="9" t="s">
        <v>44</v>
      </c>
      <c r="C69" s="11">
        <v>180.0</v>
      </c>
      <c r="D69" s="11">
        <v>82.0</v>
      </c>
      <c r="E69" s="9" t="s">
        <v>45</v>
      </c>
      <c r="F69" s="11">
        <v>1.0</v>
      </c>
      <c r="G69" s="9" t="s">
        <v>50</v>
      </c>
      <c r="H69" s="9" t="s">
        <v>47</v>
      </c>
      <c r="I69" s="11">
        <v>7.1</v>
      </c>
      <c r="J69" s="11">
        <v>7.7</v>
      </c>
      <c r="K69" s="9" t="s">
        <v>48</v>
      </c>
      <c r="L69" s="9" t="s">
        <v>48</v>
      </c>
      <c r="M69" s="9" t="s">
        <v>48</v>
      </c>
      <c r="N69" s="11">
        <v>1.0</v>
      </c>
    </row>
    <row r="70" ht="15.75" customHeight="1">
      <c r="A70" s="8">
        <v>69.0</v>
      </c>
      <c r="B70" s="9" t="s">
        <v>44</v>
      </c>
      <c r="C70" s="11">
        <v>189.0</v>
      </c>
      <c r="D70" s="11">
        <v>85.0</v>
      </c>
      <c r="E70" s="9" t="s">
        <v>55</v>
      </c>
      <c r="F70" s="11">
        <v>3.0</v>
      </c>
      <c r="G70" s="9" t="s">
        <v>50</v>
      </c>
      <c r="H70" s="9" t="s">
        <v>51</v>
      </c>
      <c r="I70" s="11">
        <v>7.0</v>
      </c>
      <c r="J70" s="12">
        <v>0.0</v>
      </c>
      <c r="K70" s="9" t="s">
        <v>48</v>
      </c>
      <c r="L70" s="9" t="s">
        <v>48</v>
      </c>
      <c r="M70" s="9" t="s">
        <v>48</v>
      </c>
      <c r="N70" s="11">
        <v>15.0</v>
      </c>
    </row>
    <row r="71" ht="15.75" customHeight="1">
      <c r="A71" s="8">
        <v>70.0</v>
      </c>
      <c r="B71" s="9" t="s">
        <v>44</v>
      </c>
      <c r="C71" s="11">
        <v>190.0</v>
      </c>
      <c r="D71" s="11">
        <v>75.0</v>
      </c>
      <c r="E71" s="9" t="s">
        <v>49</v>
      </c>
      <c r="F71" s="11">
        <v>2.0</v>
      </c>
      <c r="G71" s="13"/>
      <c r="H71" s="9" t="s">
        <v>47</v>
      </c>
      <c r="I71" s="11">
        <v>7.0</v>
      </c>
      <c r="J71" s="11">
        <v>9.0</v>
      </c>
      <c r="K71" s="9" t="s">
        <v>48</v>
      </c>
      <c r="L71" s="9" t="s">
        <v>48</v>
      </c>
      <c r="M71" s="9" t="s">
        <v>48</v>
      </c>
      <c r="N71" s="11">
        <v>14.0</v>
      </c>
    </row>
    <row r="72" ht="15.75" customHeight="1">
      <c r="A72" s="8">
        <v>71.0</v>
      </c>
      <c r="B72" s="9" t="s">
        <v>54</v>
      </c>
      <c r="C72" s="11">
        <v>168.0</v>
      </c>
      <c r="D72" s="11">
        <v>61.0</v>
      </c>
      <c r="E72" s="9" t="s">
        <v>45</v>
      </c>
      <c r="F72" s="11">
        <v>3.0</v>
      </c>
      <c r="G72" s="9" t="s">
        <v>50</v>
      </c>
      <c r="H72" s="9" t="s">
        <v>51</v>
      </c>
      <c r="I72" s="11">
        <v>6.0</v>
      </c>
      <c r="J72" s="11">
        <v>6.0</v>
      </c>
      <c r="K72" s="9" t="s">
        <v>48</v>
      </c>
      <c r="L72" s="9" t="s">
        <v>48</v>
      </c>
      <c r="M72" s="9" t="s">
        <v>48</v>
      </c>
      <c r="N72" s="11">
        <v>0.0</v>
      </c>
    </row>
    <row r="73" ht="15.75" customHeight="1">
      <c r="A73" s="8">
        <v>72.0</v>
      </c>
      <c r="B73" s="9" t="s">
        <v>44</v>
      </c>
      <c r="C73" s="11">
        <v>180.0</v>
      </c>
      <c r="D73" s="11">
        <v>85.0</v>
      </c>
      <c r="E73" s="9" t="s">
        <v>55</v>
      </c>
      <c r="F73" s="11">
        <v>1.0</v>
      </c>
      <c r="G73" s="9" t="s">
        <v>50</v>
      </c>
      <c r="H73" s="9" t="s">
        <v>51</v>
      </c>
      <c r="I73" s="11">
        <v>6.5</v>
      </c>
      <c r="J73" s="11">
        <v>5.0</v>
      </c>
      <c r="K73" s="9" t="s">
        <v>48</v>
      </c>
      <c r="L73" s="9" t="s">
        <v>48</v>
      </c>
      <c r="M73" s="9" t="s">
        <v>48</v>
      </c>
      <c r="N73" s="11">
        <v>20.0</v>
      </c>
    </row>
    <row r="74" ht="15.75" customHeight="1">
      <c r="A74" s="8">
        <v>73.0</v>
      </c>
      <c r="B74" s="9" t="s">
        <v>44</v>
      </c>
      <c r="C74" s="11">
        <v>182.0</v>
      </c>
      <c r="D74" s="11">
        <v>80.0</v>
      </c>
      <c r="E74" s="9" t="s">
        <v>49</v>
      </c>
      <c r="F74" s="11">
        <v>1.0</v>
      </c>
      <c r="G74" s="9" t="s">
        <v>50</v>
      </c>
      <c r="H74" s="9" t="s">
        <v>51</v>
      </c>
      <c r="I74" s="11">
        <v>7.0</v>
      </c>
      <c r="J74" s="11">
        <v>7.0</v>
      </c>
      <c r="K74" s="9" t="s">
        <v>48</v>
      </c>
      <c r="L74" s="9" t="s">
        <v>48</v>
      </c>
      <c r="M74" s="9" t="s">
        <v>48</v>
      </c>
      <c r="N74" s="11">
        <v>70.0</v>
      </c>
    </row>
    <row r="75" ht="15.75" customHeight="1">
      <c r="A75" s="8">
        <v>74.0</v>
      </c>
      <c r="B75" s="9" t="s">
        <v>44</v>
      </c>
      <c r="C75" s="14">
        <v>1.8</v>
      </c>
      <c r="D75" s="11">
        <v>85.0</v>
      </c>
      <c r="E75" s="9" t="s">
        <v>56</v>
      </c>
      <c r="F75" s="11">
        <v>3.0</v>
      </c>
      <c r="G75" s="9" t="s">
        <v>50</v>
      </c>
      <c r="H75" s="9" t="s">
        <v>47</v>
      </c>
      <c r="I75" s="11">
        <v>7.8</v>
      </c>
      <c r="J75" s="12">
        <v>0.0</v>
      </c>
      <c r="K75" s="9" t="s">
        <v>48</v>
      </c>
      <c r="L75" s="9" t="s">
        <v>48</v>
      </c>
      <c r="M75" s="9" t="s">
        <v>53</v>
      </c>
      <c r="N75" s="11">
        <v>0.0</v>
      </c>
    </row>
    <row r="76" ht="15.75" customHeight="1">
      <c r="A76" s="8">
        <v>75.0</v>
      </c>
      <c r="B76" s="9" t="s">
        <v>44</v>
      </c>
      <c r="C76" s="11">
        <v>175.0</v>
      </c>
      <c r="D76" s="11">
        <v>62.0</v>
      </c>
      <c r="E76" s="9" t="s">
        <v>49</v>
      </c>
      <c r="F76" s="11">
        <v>2.0</v>
      </c>
      <c r="G76" s="9" t="s">
        <v>52</v>
      </c>
      <c r="H76" s="9" t="s">
        <v>47</v>
      </c>
      <c r="I76" s="11">
        <v>7.0</v>
      </c>
      <c r="J76" s="11">
        <v>9.1</v>
      </c>
      <c r="K76" s="9" t="s">
        <v>48</v>
      </c>
      <c r="L76" s="9" t="s">
        <v>48</v>
      </c>
      <c r="M76" s="9" t="s">
        <v>48</v>
      </c>
      <c r="N76" s="11">
        <v>60.0</v>
      </c>
    </row>
    <row r="77" ht="15.75" customHeight="1">
      <c r="A77" s="8">
        <v>76.0</v>
      </c>
      <c r="B77" s="9" t="s">
        <v>44</v>
      </c>
      <c r="C77" s="11">
        <v>183.0</v>
      </c>
      <c r="D77" s="11">
        <v>80.0</v>
      </c>
      <c r="E77" s="9" t="s">
        <v>56</v>
      </c>
      <c r="F77" s="11">
        <v>2.0</v>
      </c>
      <c r="G77" s="9" t="s">
        <v>50</v>
      </c>
      <c r="H77" s="9" t="s">
        <v>47</v>
      </c>
      <c r="I77" s="11">
        <v>6.0</v>
      </c>
      <c r="J77" s="11">
        <v>6.8</v>
      </c>
      <c r="K77" s="9" t="s">
        <v>48</v>
      </c>
      <c r="L77" s="9" t="s">
        <v>48</v>
      </c>
      <c r="M77" s="9" t="s">
        <v>48</v>
      </c>
      <c r="N77" s="11">
        <v>4.0</v>
      </c>
    </row>
    <row r="78" ht="15.75" customHeight="1">
      <c r="A78" s="8">
        <v>77.0</v>
      </c>
      <c r="B78" s="9" t="s">
        <v>44</v>
      </c>
      <c r="C78" s="11">
        <v>180.0</v>
      </c>
      <c r="D78" s="11">
        <v>85.0</v>
      </c>
      <c r="E78" s="9" t="s">
        <v>55</v>
      </c>
      <c r="F78" s="11">
        <v>3.0</v>
      </c>
      <c r="G78" s="9" t="s">
        <v>52</v>
      </c>
      <c r="H78" s="9" t="s">
        <v>47</v>
      </c>
      <c r="I78" s="11">
        <v>5.7</v>
      </c>
      <c r="J78" s="11">
        <v>6.4</v>
      </c>
      <c r="K78" s="9" t="s">
        <v>48</v>
      </c>
      <c r="L78" s="9" t="s">
        <v>48</v>
      </c>
      <c r="M78" s="9" t="s">
        <v>48</v>
      </c>
      <c r="N78" s="11">
        <v>10.0</v>
      </c>
    </row>
    <row r="79" ht="15.75" customHeight="1">
      <c r="A79" s="8">
        <v>78.0</v>
      </c>
      <c r="B79" s="9" t="s">
        <v>44</v>
      </c>
      <c r="C79" s="11">
        <v>175.0</v>
      </c>
      <c r="D79" s="11">
        <v>75.0</v>
      </c>
      <c r="E79" s="9" t="s">
        <v>56</v>
      </c>
      <c r="F79" s="11">
        <v>1.0</v>
      </c>
      <c r="G79" s="9" t="s">
        <v>52</v>
      </c>
      <c r="H79" s="9" t="s">
        <v>47</v>
      </c>
      <c r="I79" s="11">
        <v>7.3</v>
      </c>
      <c r="J79" s="11">
        <v>9.5</v>
      </c>
      <c r="K79" s="9" t="s">
        <v>48</v>
      </c>
      <c r="L79" s="9" t="s">
        <v>48</v>
      </c>
      <c r="M79" s="9" t="s">
        <v>48</v>
      </c>
      <c r="N79" s="11">
        <v>5.0</v>
      </c>
    </row>
    <row r="80" ht="15.75" customHeight="1">
      <c r="A80" s="8">
        <v>79.0</v>
      </c>
      <c r="B80" s="9" t="s">
        <v>44</v>
      </c>
      <c r="C80" s="11">
        <v>180.0</v>
      </c>
      <c r="D80" s="11">
        <v>72.0</v>
      </c>
      <c r="E80" s="9" t="s">
        <v>49</v>
      </c>
      <c r="F80" s="11">
        <v>2.0</v>
      </c>
      <c r="G80" s="9" t="s">
        <v>50</v>
      </c>
      <c r="H80" s="9" t="s">
        <v>51</v>
      </c>
      <c r="I80" s="11">
        <v>6.98</v>
      </c>
      <c r="J80" s="11">
        <v>9.3</v>
      </c>
      <c r="K80" s="9" t="s">
        <v>48</v>
      </c>
      <c r="L80" s="9" t="s">
        <v>48</v>
      </c>
      <c r="M80" s="9" t="s">
        <v>48</v>
      </c>
      <c r="N80" s="11">
        <v>2.0</v>
      </c>
    </row>
    <row r="81" ht="15.75" customHeight="1">
      <c r="A81" s="8">
        <v>80.0</v>
      </c>
      <c r="B81" s="9" t="s">
        <v>44</v>
      </c>
      <c r="C81" s="11">
        <v>175.0</v>
      </c>
      <c r="D81" s="11">
        <v>68.0</v>
      </c>
      <c r="E81" s="9" t="s">
        <v>55</v>
      </c>
      <c r="F81" s="11">
        <v>2.0</v>
      </c>
      <c r="G81" s="9" t="s">
        <v>50</v>
      </c>
      <c r="H81" s="9" t="s">
        <v>51</v>
      </c>
      <c r="I81" s="11">
        <v>6.5</v>
      </c>
      <c r="J81" s="11">
        <v>8.4</v>
      </c>
      <c r="K81" s="9" t="s">
        <v>48</v>
      </c>
      <c r="L81" s="9" t="s">
        <v>48</v>
      </c>
      <c r="M81" s="9" t="s">
        <v>48</v>
      </c>
      <c r="N81" s="11">
        <v>2.0</v>
      </c>
    </row>
    <row r="82" ht="15.75" customHeight="1">
      <c r="A82" s="8">
        <v>81.0</v>
      </c>
      <c r="B82" s="9" t="s">
        <v>44</v>
      </c>
      <c r="C82" s="11">
        <v>180.0</v>
      </c>
      <c r="D82" s="11">
        <v>72.0</v>
      </c>
      <c r="E82" s="9" t="s">
        <v>55</v>
      </c>
      <c r="F82" s="11">
        <v>3.0</v>
      </c>
      <c r="G82" s="9" t="s">
        <v>50</v>
      </c>
      <c r="H82" s="9" t="s">
        <v>51</v>
      </c>
      <c r="I82" s="11">
        <v>6.7</v>
      </c>
      <c r="J82" s="11">
        <v>6.3</v>
      </c>
      <c r="K82" s="9" t="s">
        <v>48</v>
      </c>
      <c r="L82" s="9" t="s">
        <v>48</v>
      </c>
      <c r="M82" s="9" t="s">
        <v>48</v>
      </c>
      <c r="N82" s="11">
        <v>1.0</v>
      </c>
    </row>
    <row r="83" ht="15.75" customHeight="1">
      <c r="A83" s="8">
        <v>82.0</v>
      </c>
      <c r="B83" s="9" t="s">
        <v>44</v>
      </c>
      <c r="C83" s="11">
        <v>180.0</v>
      </c>
      <c r="D83" s="11">
        <v>70.0</v>
      </c>
      <c r="E83" s="9" t="s">
        <v>55</v>
      </c>
      <c r="F83" s="11">
        <v>3.0</v>
      </c>
      <c r="G83" s="9" t="s">
        <v>50</v>
      </c>
      <c r="H83" s="9" t="s">
        <v>51</v>
      </c>
      <c r="I83" s="11">
        <v>6.7</v>
      </c>
      <c r="J83" s="11">
        <v>7.0</v>
      </c>
      <c r="K83" s="9" t="s">
        <v>48</v>
      </c>
      <c r="L83" s="9" t="s">
        <v>48</v>
      </c>
      <c r="M83" s="9" t="s">
        <v>48</v>
      </c>
      <c r="N83" s="11">
        <v>30.0</v>
      </c>
    </row>
    <row r="84" ht="15.75" customHeight="1">
      <c r="A84" s="8">
        <v>83.0</v>
      </c>
      <c r="B84" s="9" t="s">
        <v>54</v>
      </c>
      <c r="C84" s="14">
        <v>1.62</v>
      </c>
      <c r="D84" s="11">
        <v>56.0</v>
      </c>
      <c r="E84" s="9" t="s">
        <v>55</v>
      </c>
      <c r="F84" s="11">
        <v>3.0</v>
      </c>
      <c r="G84" s="9" t="s">
        <v>50</v>
      </c>
      <c r="H84" s="9" t="s">
        <v>47</v>
      </c>
      <c r="I84" s="11">
        <v>5.6</v>
      </c>
      <c r="J84" s="11">
        <v>6.7</v>
      </c>
      <c r="K84" s="9" t="s">
        <v>48</v>
      </c>
      <c r="L84" s="9" t="s">
        <v>48</v>
      </c>
      <c r="M84" s="9" t="s">
        <v>48</v>
      </c>
      <c r="N84" s="11">
        <v>7.0</v>
      </c>
    </row>
    <row r="85" ht="15.75" customHeight="1">
      <c r="A85" s="8">
        <v>84.0</v>
      </c>
      <c r="B85" s="9" t="s">
        <v>44</v>
      </c>
      <c r="C85" s="11">
        <v>186.0</v>
      </c>
      <c r="D85" s="11">
        <v>90.0</v>
      </c>
      <c r="E85" s="9" t="s">
        <v>56</v>
      </c>
      <c r="F85" s="11">
        <v>2.0</v>
      </c>
      <c r="G85" s="9" t="s">
        <v>57</v>
      </c>
      <c r="H85" s="9" t="s">
        <v>51</v>
      </c>
      <c r="I85" s="11">
        <v>7.6</v>
      </c>
      <c r="J85" s="11">
        <v>9.0</v>
      </c>
      <c r="K85" s="9" t="s">
        <v>48</v>
      </c>
      <c r="L85" s="9" t="s">
        <v>48</v>
      </c>
      <c r="M85" s="9" t="s">
        <v>48</v>
      </c>
      <c r="N85" s="11">
        <v>8.0</v>
      </c>
    </row>
    <row r="86" ht="15.75" customHeight="1">
      <c r="A86" s="8">
        <v>85.0</v>
      </c>
      <c r="B86" s="9" t="s">
        <v>54</v>
      </c>
      <c r="C86" s="11">
        <v>168.0</v>
      </c>
      <c r="D86" s="11">
        <v>55.0</v>
      </c>
      <c r="E86" s="9" t="s">
        <v>58</v>
      </c>
      <c r="F86" s="11">
        <v>1.0</v>
      </c>
      <c r="G86" s="9" t="s">
        <v>52</v>
      </c>
      <c r="H86" s="9" t="s">
        <v>47</v>
      </c>
      <c r="I86" s="11">
        <v>6.8</v>
      </c>
      <c r="J86" s="11">
        <v>8.2</v>
      </c>
      <c r="K86" s="9" t="s">
        <v>48</v>
      </c>
      <c r="L86" s="9" t="s">
        <v>53</v>
      </c>
      <c r="M86" s="9" t="s">
        <v>48</v>
      </c>
      <c r="N86" s="11">
        <v>5.0</v>
      </c>
    </row>
    <row r="87" ht="15.75" customHeight="1">
      <c r="A87" s="8">
        <v>86.0</v>
      </c>
      <c r="B87" s="9" t="s">
        <v>44</v>
      </c>
      <c r="C87" s="11">
        <v>181.0</v>
      </c>
      <c r="D87" s="11">
        <v>75.0</v>
      </c>
      <c r="E87" s="9" t="s">
        <v>55</v>
      </c>
      <c r="F87" s="11">
        <v>3.0</v>
      </c>
      <c r="G87" s="9" t="s">
        <v>50</v>
      </c>
      <c r="H87" s="9" t="s">
        <v>51</v>
      </c>
      <c r="I87" s="11">
        <v>6.8</v>
      </c>
      <c r="J87" s="11">
        <v>8.7</v>
      </c>
      <c r="K87" s="9" t="s">
        <v>48</v>
      </c>
      <c r="L87" s="9" t="s">
        <v>48</v>
      </c>
      <c r="M87" s="9" t="s">
        <v>48</v>
      </c>
      <c r="N87" s="11">
        <v>14.0</v>
      </c>
    </row>
    <row r="88" ht="15.75" customHeight="1">
      <c r="A88" s="8">
        <v>87.0</v>
      </c>
      <c r="B88" s="9" t="s">
        <v>44</v>
      </c>
      <c r="C88" s="11">
        <v>158.0</v>
      </c>
      <c r="D88" s="11">
        <v>60.0</v>
      </c>
      <c r="E88" s="9" t="s">
        <v>45</v>
      </c>
      <c r="F88" s="11">
        <v>1.0</v>
      </c>
      <c r="G88" s="9" t="s">
        <v>52</v>
      </c>
      <c r="H88" s="9" t="s">
        <v>47</v>
      </c>
      <c r="I88" s="11">
        <v>6.0</v>
      </c>
      <c r="J88" s="11">
        <v>7.0</v>
      </c>
      <c r="K88" s="9" t="s">
        <v>48</v>
      </c>
      <c r="L88" s="9" t="s">
        <v>48</v>
      </c>
      <c r="M88" s="9" t="s">
        <v>48</v>
      </c>
      <c r="N88" s="11">
        <v>5.0</v>
      </c>
    </row>
    <row r="89" ht="15.75" customHeight="1">
      <c r="A89" s="8">
        <v>88.0</v>
      </c>
      <c r="B89" s="9" t="s">
        <v>44</v>
      </c>
      <c r="C89" s="14">
        <v>1.78</v>
      </c>
      <c r="D89" s="11">
        <v>70.0</v>
      </c>
      <c r="E89" s="9" t="s">
        <v>55</v>
      </c>
      <c r="F89" s="11">
        <v>2.0</v>
      </c>
      <c r="G89" s="9" t="s">
        <v>50</v>
      </c>
      <c r="H89" s="9" t="s">
        <v>47</v>
      </c>
      <c r="I89" s="11">
        <v>5.7</v>
      </c>
      <c r="J89" s="11">
        <v>5.5</v>
      </c>
      <c r="K89" s="9" t="s">
        <v>53</v>
      </c>
      <c r="L89" s="9" t="s">
        <v>48</v>
      </c>
      <c r="M89" s="9" t="s">
        <v>48</v>
      </c>
      <c r="N89" s="11">
        <v>12.0</v>
      </c>
    </row>
    <row r="90" ht="15.75" customHeight="1">
      <c r="A90" s="8">
        <v>89.0</v>
      </c>
      <c r="B90" s="9" t="s">
        <v>44</v>
      </c>
      <c r="C90" s="11">
        <v>175.0</v>
      </c>
      <c r="D90" s="11">
        <v>72.0</v>
      </c>
      <c r="E90" s="9" t="s">
        <v>49</v>
      </c>
      <c r="F90" s="11">
        <v>2.0</v>
      </c>
      <c r="G90" s="9" t="s">
        <v>50</v>
      </c>
      <c r="H90" s="9" t="s">
        <v>51</v>
      </c>
      <c r="I90" s="11">
        <v>7.0</v>
      </c>
      <c r="J90" s="11">
        <v>7.03</v>
      </c>
      <c r="K90" s="9" t="s">
        <v>48</v>
      </c>
      <c r="L90" s="9" t="s">
        <v>48</v>
      </c>
      <c r="M90" s="9" t="s">
        <v>48</v>
      </c>
      <c r="N90" s="11">
        <v>2.0</v>
      </c>
    </row>
    <row r="91" ht="15.75" customHeight="1">
      <c r="A91" s="8">
        <v>90.0</v>
      </c>
      <c r="B91" s="9" t="s">
        <v>54</v>
      </c>
      <c r="C91" s="11">
        <v>162.0</v>
      </c>
      <c r="D91" s="11">
        <v>44.0</v>
      </c>
      <c r="E91" s="9" t="s">
        <v>49</v>
      </c>
      <c r="F91" s="11">
        <v>2.0</v>
      </c>
      <c r="G91" s="9" t="s">
        <v>57</v>
      </c>
      <c r="H91" s="9" t="s">
        <v>47</v>
      </c>
      <c r="I91" s="11">
        <v>6.7</v>
      </c>
      <c r="J91" s="11">
        <v>7.3</v>
      </c>
      <c r="K91" s="9" t="s">
        <v>48</v>
      </c>
      <c r="L91" s="9" t="s">
        <v>48</v>
      </c>
      <c r="M91" s="9" t="s">
        <v>48</v>
      </c>
      <c r="N91" s="11">
        <v>70.0</v>
      </c>
    </row>
    <row r="92" ht="15.75" customHeight="1">
      <c r="A92" s="8">
        <v>91.0</v>
      </c>
      <c r="B92" s="9" t="s">
        <v>54</v>
      </c>
      <c r="C92" s="11">
        <v>158.0</v>
      </c>
      <c r="D92" s="11">
        <v>51.0</v>
      </c>
      <c r="E92" s="9" t="s">
        <v>45</v>
      </c>
      <c r="F92" s="11">
        <v>3.0</v>
      </c>
      <c r="G92" s="9" t="s">
        <v>46</v>
      </c>
      <c r="H92" s="9" t="s">
        <v>51</v>
      </c>
      <c r="I92" s="11">
        <v>5.6</v>
      </c>
      <c r="J92" s="11">
        <v>6.73</v>
      </c>
      <c r="K92" s="9" t="s">
        <v>48</v>
      </c>
      <c r="L92" s="9" t="s">
        <v>48</v>
      </c>
      <c r="M92" s="9" t="s">
        <v>48</v>
      </c>
      <c r="N92" s="11">
        <v>20.0</v>
      </c>
    </row>
    <row r="93" ht="15.75" customHeight="1">
      <c r="A93" s="8">
        <v>92.0</v>
      </c>
      <c r="B93" s="13"/>
      <c r="C93" s="11">
        <v>176.0</v>
      </c>
      <c r="D93" s="11">
        <v>60.0</v>
      </c>
      <c r="E93" s="9" t="s">
        <v>49</v>
      </c>
      <c r="F93" s="11">
        <v>1.0</v>
      </c>
      <c r="G93" s="9" t="s">
        <v>50</v>
      </c>
      <c r="H93" s="9" t="s">
        <v>51</v>
      </c>
      <c r="I93" s="11">
        <v>6.5</v>
      </c>
      <c r="J93" s="11">
        <v>6.1</v>
      </c>
      <c r="K93" s="9" t="s">
        <v>48</v>
      </c>
      <c r="L93" s="9" t="s">
        <v>53</v>
      </c>
      <c r="M93" s="9" t="s">
        <v>48</v>
      </c>
      <c r="N93" s="11">
        <v>30.0</v>
      </c>
    </row>
    <row r="94" ht="15.75" customHeight="1">
      <c r="A94" s="8">
        <v>93.0</v>
      </c>
      <c r="B94" s="9" t="s">
        <v>54</v>
      </c>
      <c r="C94" s="14">
        <v>1.72</v>
      </c>
      <c r="D94" s="11">
        <v>63.0</v>
      </c>
      <c r="E94" s="9" t="s">
        <v>45</v>
      </c>
      <c r="F94" s="11">
        <v>2.0</v>
      </c>
      <c r="G94" s="9" t="s">
        <v>52</v>
      </c>
      <c r="H94" s="9" t="s">
        <v>47</v>
      </c>
      <c r="I94" s="11">
        <v>8.5</v>
      </c>
      <c r="J94" s="11">
        <v>8.4</v>
      </c>
      <c r="K94" s="9" t="s">
        <v>48</v>
      </c>
      <c r="L94" s="9" t="s">
        <v>48</v>
      </c>
      <c r="M94" s="9" t="s">
        <v>48</v>
      </c>
      <c r="N94" s="11">
        <v>5.0</v>
      </c>
    </row>
    <row r="95" ht="15.75" customHeight="1">
      <c r="A95" s="8">
        <v>94.0</v>
      </c>
      <c r="B95" s="9" t="s">
        <v>44</v>
      </c>
      <c r="C95" s="11">
        <v>180.0</v>
      </c>
      <c r="D95" s="11">
        <v>63.0</v>
      </c>
      <c r="E95" s="9" t="s">
        <v>55</v>
      </c>
      <c r="F95" s="11">
        <v>3.0</v>
      </c>
      <c r="G95" s="9" t="s">
        <v>50</v>
      </c>
      <c r="H95" s="9" t="s">
        <v>51</v>
      </c>
      <c r="I95" s="11">
        <v>6.9</v>
      </c>
      <c r="J95" s="12">
        <v>0.0</v>
      </c>
      <c r="K95" s="9" t="s">
        <v>48</v>
      </c>
      <c r="L95" s="9" t="s">
        <v>48</v>
      </c>
      <c r="M95" s="9" t="s">
        <v>48</v>
      </c>
      <c r="N95" s="11">
        <v>50.0</v>
      </c>
    </row>
    <row r="96" ht="15.75" customHeight="1">
      <c r="A96" s="8">
        <v>95.0</v>
      </c>
      <c r="B96" s="9" t="s">
        <v>54</v>
      </c>
      <c r="C96" s="11">
        <v>171.0</v>
      </c>
      <c r="D96" s="11">
        <v>62.0</v>
      </c>
      <c r="E96" s="9" t="s">
        <v>45</v>
      </c>
      <c r="F96" s="11">
        <v>2.0</v>
      </c>
      <c r="G96" s="9" t="s">
        <v>50</v>
      </c>
      <c r="H96" s="9" t="s">
        <v>51</v>
      </c>
      <c r="I96" s="11">
        <v>5.8</v>
      </c>
      <c r="J96" s="11">
        <v>5.8</v>
      </c>
      <c r="K96" s="9" t="s">
        <v>48</v>
      </c>
      <c r="L96" s="9" t="s">
        <v>48</v>
      </c>
      <c r="M96" s="9" t="s">
        <v>48</v>
      </c>
      <c r="N96" s="11">
        <v>4.0</v>
      </c>
    </row>
    <row r="97" ht="15.75" customHeight="1">
      <c r="A97" s="8">
        <v>96.0</v>
      </c>
      <c r="B97" s="9" t="s">
        <v>54</v>
      </c>
      <c r="C97" s="11">
        <v>165.0</v>
      </c>
      <c r="D97" s="11">
        <v>54.0</v>
      </c>
      <c r="E97" s="9" t="s">
        <v>49</v>
      </c>
      <c r="F97" s="11">
        <v>1.0</v>
      </c>
      <c r="G97" s="9" t="s">
        <v>50</v>
      </c>
      <c r="H97" s="9" t="s">
        <v>51</v>
      </c>
      <c r="I97" s="11">
        <v>5.6</v>
      </c>
      <c r="J97" s="11">
        <v>6.2</v>
      </c>
      <c r="K97" s="9" t="s">
        <v>48</v>
      </c>
      <c r="L97" s="9" t="s">
        <v>48</v>
      </c>
      <c r="M97" s="9" t="s">
        <v>48</v>
      </c>
      <c r="N97" s="11">
        <v>12.0</v>
      </c>
    </row>
    <row r="98" ht="15.75" customHeight="1">
      <c r="A98" s="8">
        <v>97.0</v>
      </c>
      <c r="B98" s="9" t="s">
        <v>44</v>
      </c>
      <c r="C98" s="11">
        <v>182.0</v>
      </c>
      <c r="D98" s="11">
        <v>65.0</v>
      </c>
      <c r="E98" s="9" t="s">
        <v>55</v>
      </c>
      <c r="F98" s="11">
        <v>2.0</v>
      </c>
      <c r="G98" s="9" t="s">
        <v>50</v>
      </c>
      <c r="H98" s="9" t="s">
        <v>51</v>
      </c>
      <c r="I98" s="11">
        <v>9.1</v>
      </c>
      <c r="J98" s="11">
        <v>10.1</v>
      </c>
      <c r="K98" s="9" t="s">
        <v>48</v>
      </c>
      <c r="L98" s="9" t="s">
        <v>48</v>
      </c>
      <c r="M98" s="9" t="s">
        <v>48</v>
      </c>
      <c r="N98" s="11">
        <v>5.0</v>
      </c>
    </row>
    <row r="99" ht="15.75" customHeight="1">
      <c r="A99" s="8">
        <v>98.0</v>
      </c>
      <c r="B99" s="9" t="s">
        <v>54</v>
      </c>
      <c r="C99" s="11">
        <v>165.0</v>
      </c>
      <c r="D99" s="11">
        <v>65.0</v>
      </c>
      <c r="E99" s="9" t="s">
        <v>45</v>
      </c>
      <c r="F99" s="11">
        <v>1.0</v>
      </c>
      <c r="G99" s="9" t="s">
        <v>57</v>
      </c>
      <c r="H99" s="9" t="s">
        <v>51</v>
      </c>
      <c r="I99" s="11">
        <v>7.8</v>
      </c>
      <c r="J99" s="11">
        <v>9.8</v>
      </c>
      <c r="K99" s="9" t="s">
        <v>48</v>
      </c>
      <c r="L99" s="9" t="s">
        <v>48</v>
      </c>
      <c r="M99" s="9" t="s">
        <v>48</v>
      </c>
      <c r="N99" s="11">
        <v>70.0</v>
      </c>
    </row>
    <row r="100" ht="15.75" customHeight="1">
      <c r="A100" s="8">
        <v>99.0</v>
      </c>
      <c r="B100" s="9" t="s">
        <v>54</v>
      </c>
      <c r="C100" s="14">
        <v>1.65</v>
      </c>
      <c r="D100" s="11">
        <v>57.0</v>
      </c>
      <c r="E100" s="9" t="s">
        <v>45</v>
      </c>
      <c r="F100" s="11">
        <v>2.0</v>
      </c>
      <c r="G100" s="9" t="s">
        <v>52</v>
      </c>
      <c r="H100" s="9" t="s">
        <v>47</v>
      </c>
      <c r="I100" s="11">
        <v>8.25</v>
      </c>
      <c r="J100" s="11">
        <v>11.017</v>
      </c>
      <c r="K100" s="9" t="s">
        <v>48</v>
      </c>
      <c r="L100" s="9" t="s">
        <v>48</v>
      </c>
      <c r="M100" s="9" t="s">
        <v>48</v>
      </c>
      <c r="N100" s="11">
        <v>35.0</v>
      </c>
    </row>
    <row r="101" ht="15.75" customHeight="1">
      <c r="A101" s="8">
        <v>100.0</v>
      </c>
      <c r="B101" s="9" t="s">
        <v>44</v>
      </c>
      <c r="C101" s="11">
        <v>185.0</v>
      </c>
      <c r="D101" s="11">
        <v>57.0</v>
      </c>
      <c r="E101" s="9" t="s">
        <v>55</v>
      </c>
      <c r="F101" s="11">
        <v>2.0</v>
      </c>
      <c r="G101" s="9" t="s">
        <v>50</v>
      </c>
      <c r="H101" s="9" t="s">
        <v>47</v>
      </c>
      <c r="I101" s="11">
        <v>8.0</v>
      </c>
      <c r="J101" s="11">
        <v>8.0</v>
      </c>
      <c r="K101" s="9" t="s">
        <v>48</v>
      </c>
      <c r="L101" s="9" t="s">
        <v>48</v>
      </c>
      <c r="M101" s="9" t="s">
        <v>53</v>
      </c>
      <c r="N101" s="11">
        <v>0.0</v>
      </c>
    </row>
    <row r="102" ht="15.75" customHeight="1">
      <c r="A102" s="8">
        <v>101.0</v>
      </c>
      <c r="B102" s="9" t="s">
        <v>54</v>
      </c>
      <c r="C102" s="11">
        <v>165.0</v>
      </c>
      <c r="D102" s="11">
        <v>50.0</v>
      </c>
      <c r="E102" s="9" t="s">
        <v>55</v>
      </c>
      <c r="F102" s="11">
        <v>2.0</v>
      </c>
      <c r="G102" s="9" t="s">
        <v>50</v>
      </c>
      <c r="H102" s="9" t="s">
        <v>51</v>
      </c>
      <c r="I102" s="11">
        <v>9.7</v>
      </c>
      <c r="J102" s="11">
        <v>12.8</v>
      </c>
      <c r="K102" s="9" t="s">
        <v>48</v>
      </c>
      <c r="L102" s="9" t="s">
        <v>48</v>
      </c>
      <c r="M102" s="9" t="s">
        <v>48</v>
      </c>
      <c r="N102" s="11">
        <v>12.0</v>
      </c>
    </row>
    <row r="103" ht="15.75" customHeight="1">
      <c r="A103" s="8">
        <v>102.0</v>
      </c>
      <c r="B103" s="9" t="s">
        <v>54</v>
      </c>
      <c r="C103" s="11">
        <v>173.0</v>
      </c>
      <c r="D103" s="11">
        <v>67.0</v>
      </c>
      <c r="E103" s="9" t="s">
        <v>55</v>
      </c>
      <c r="F103" s="11">
        <v>2.0</v>
      </c>
      <c r="G103" s="9" t="s">
        <v>46</v>
      </c>
      <c r="H103" s="9" t="s">
        <v>47</v>
      </c>
      <c r="I103" s="11">
        <v>7.2</v>
      </c>
      <c r="J103" s="11">
        <v>6.2</v>
      </c>
      <c r="K103" s="9" t="s">
        <v>48</v>
      </c>
      <c r="L103" s="9" t="s">
        <v>48</v>
      </c>
      <c r="M103" s="9" t="s">
        <v>48</v>
      </c>
      <c r="N103" s="11">
        <v>50.0</v>
      </c>
    </row>
    <row r="104" ht="15.75" customHeight="1">
      <c r="A104" s="8">
        <v>103.0</v>
      </c>
      <c r="B104" s="9" t="s">
        <v>44</v>
      </c>
      <c r="C104" s="11">
        <v>170.0</v>
      </c>
      <c r="D104" s="11">
        <v>72.0</v>
      </c>
      <c r="E104" s="9" t="s">
        <v>49</v>
      </c>
      <c r="F104" s="11">
        <v>3.0</v>
      </c>
      <c r="G104" s="9" t="s">
        <v>50</v>
      </c>
      <c r="H104" s="9" t="s">
        <v>51</v>
      </c>
      <c r="I104" s="11">
        <v>7.0</v>
      </c>
      <c r="J104" s="11">
        <v>10.0</v>
      </c>
      <c r="K104" s="9" t="s">
        <v>48</v>
      </c>
      <c r="L104" s="9" t="s">
        <v>48</v>
      </c>
      <c r="M104" s="9" t="s">
        <v>53</v>
      </c>
      <c r="N104" s="11">
        <v>0.0</v>
      </c>
    </row>
    <row r="105" ht="15.75" customHeight="1">
      <c r="A105" s="8">
        <v>104.0</v>
      </c>
      <c r="B105" s="9" t="s">
        <v>44</v>
      </c>
      <c r="C105" s="11">
        <v>189.0</v>
      </c>
      <c r="D105" s="11">
        <v>79.0</v>
      </c>
      <c r="E105" s="9" t="s">
        <v>55</v>
      </c>
      <c r="F105" s="11">
        <v>2.0</v>
      </c>
      <c r="G105" s="9" t="s">
        <v>50</v>
      </c>
      <c r="H105" s="9" t="s">
        <v>51</v>
      </c>
      <c r="I105" s="11">
        <v>6.2</v>
      </c>
      <c r="J105" s="11">
        <v>7.3</v>
      </c>
      <c r="K105" s="9" t="s">
        <v>48</v>
      </c>
      <c r="L105" s="9" t="s">
        <v>48</v>
      </c>
      <c r="M105" s="9" t="s">
        <v>48</v>
      </c>
      <c r="N105" s="11">
        <v>6.0</v>
      </c>
    </row>
    <row r="106" ht="15.75" customHeight="1">
      <c r="A106" s="8">
        <v>105.0</v>
      </c>
      <c r="B106" s="9" t="s">
        <v>44</v>
      </c>
      <c r="C106" s="11">
        <v>170.0</v>
      </c>
      <c r="D106" s="11">
        <v>64.0</v>
      </c>
      <c r="E106" s="9" t="s">
        <v>49</v>
      </c>
      <c r="F106" s="11">
        <v>3.0</v>
      </c>
      <c r="G106" s="9" t="s">
        <v>46</v>
      </c>
      <c r="H106" s="9" t="s">
        <v>47</v>
      </c>
      <c r="I106" s="11">
        <v>8.0</v>
      </c>
      <c r="J106" s="11">
        <v>8.0</v>
      </c>
      <c r="K106" s="9" t="s">
        <v>48</v>
      </c>
      <c r="L106" s="9" t="s">
        <v>48</v>
      </c>
      <c r="M106" s="9" t="s">
        <v>48</v>
      </c>
      <c r="N106" s="11">
        <v>5.0</v>
      </c>
    </row>
    <row r="107" ht="15.75" customHeight="1">
      <c r="A107" s="8">
        <v>106.0</v>
      </c>
      <c r="B107" s="9" t="s">
        <v>44</v>
      </c>
      <c r="C107" s="11">
        <v>185.0</v>
      </c>
      <c r="D107" s="11">
        <v>95.0</v>
      </c>
      <c r="E107" s="9" t="s">
        <v>49</v>
      </c>
      <c r="F107" s="11">
        <v>2.0</v>
      </c>
      <c r="G107" s="9" t="s">
        <v>46</v>
      </c>
      <c r="H107" s="9" t="s">
        <v>47</v>
      </c>
      <c r="I107" s="11">
        <v>6.0</v>
      </c>
      <c r="J107" s="11">
        <v>8.0</v>
      </c>
      <c r="K107" s="9" t="s">
        <v>48</v>
      </c>
      <c r="L107" s="9" t="s">
        <v>48</v>
      </c>
      <c r="M107" s="9" t="s">
        <v>48</v>
      </c>
      <c r="N107" s="11">
        <v>10.0</v>
      </c>
    </row>
    <row r="108" ht="15.75" customHeight="1">
      <c r="A108" s="8">
        <v>107.0</v>
      </c>
      <c r="B108" s="9" t="s">
        <v>54</v>
      </c>
      <c r="C108" s="11">
        <v>165.0</v>
      </c>
      <c r="D108" s="11">
        <v>58.0</v>
      </c>
      <c r="E108" s="9" t="s">
        <v>45</v>
      </c>
      <c r="F108" s="11">
        <v>2.0</v>
      </c>
      <c r="G108" s="9" t="s">
        <v>50</v>
      </c>
      <c r="H108" s="9" t="s">
        <v>51</v>
      </c>
      <c r="I108" s="11">
        <v>9.0</v>
      </c>
      <c r="J108" s="11">
        <v>11.141</v>
      </c>
      <c r="K108" s="9" t="s">
        <v>48</v>
      </c>
      <c r="L108" s="9" t="s">
        <v>48</v>
      </c>
      <c r="M108" s="9" t="s">
        <v>48</v>
      </c>
      <c r="N108" s="11">
        <v>70.0</v>
      </c>
    </row>
    <row r="109" ht="15.75" customHeight="1">
      <c r="A109" s="8">
        <v>108.0</v>
      </c>
      <c r="B109" s="9" t="s">
        <v>44</v>
      </c>
      <c r="C109" s="11">
        <v>189.0</v>
      </c>
      <c r="D109" s="11">
        <v>83.0</v>
      </c>
      <c r="E109" s="9" t="s">
        <v>55</v>
      </c>
      <c r="F109" s="12">
        <v>0.0</v>
      </c>
      <c r="G109" s="9" t="s">
        <v>46</v>
      </c>
      <c r="H109" s="9" t="s">
        <v>47</v>
      </c>
      <c r="I109" s="11">
        <v>8.1</v>
      </c>
      <c r="J109" s="11">
        <v>11.8</v>
      </c>
      <c r="K109" s="9" t="s">
        <v>48</v>
      </c>
      <c r="L109" s="9" t="s">
        <v>48</v>
      </c>
      <c r="M109" s="9" t="s">
        <v>48</v>
      </c>
      <c r="N109" s="11">
        <v>20.0</v>
      </c>
    </row>
    <row r="110" ht="15.75" customHeight="1">
      <c r="A110" s="8">
        <v>109.0</v>
      </c>
      <c r="B110" s="9" t="s">
        <v>44</v>
      </c>
      <c r="C110" s="11">
        <v>180.0</v>
      </c>
      <c r="D110" s="11">
        <v>75.0</v>
      </c>
      <c r="E110" s="9" t="s">
        <v>49</v>
      </c>
      <c r="F110" s="11">
        <v>2.0</v>
      </c>
      <c r="G110" s="9" t="s">
        <v>57</v>
      </c>
      <c r="H110" s="9" t="s">
        <v>47</v>
      </c>
      <c r="I110" s="11">
        <v>5.5</v>
      </c>
      <c r="J110" s="11">
        <v>6.9</v>
      </c>
      <c r="K110" s="9" t="s">
        <v>48</v>
      </c>
      <c r="L110" s="9" t="s">
        <v>48</v>
      </c>
      <c r="M110" s="9" t="s">
        <v>48</v>
      </c>
      <c r="N110" s="11">
        <v>8.0</v>
      </c>
    </row>
    <row r="111" ht="15.75" customHeight="1">
      <c r="A111" s="8">
        <v>110.0</v>
      </c>
      <c r="B111" s="9" t="s">
        <v>44</v>
      </c>
      <c r="C111" s="11">
        <v>192.0</v>
      </c>
      <c r="D111" s="11">
        <v>83.0</v>
      </c>
      <c r="E111" s="9" t="s">
        <v>56</v>
      </c>
      <c r="F111" s="11">
        <v>2.0</v>
      </c>
      <c r="G111" s="9" t="s">
        <v>50</v>
      </c>
      <c r="H111" s="9" t="s">
        <v>51</v>
      </c>
      <c r="I111" s="11">
        <v>6.0</v>
      </c>
      <c r="J111" s="11">
        <v>5.2</v>
      </c>
      <c r="K111" s="13"/>
      <c r="L111" s="9" t="s">
        <v>48</v>
      </c>
      <c r="M111" s="9" t="s">
        <v>48</v>
      </c>
      <c r="N111" s="11">
        <v>15.0</v>
      </c>
    </row>
    <row r="112" ht="15.75" customHeight="1">
      <c r="A112" s="8">
        <v>111.0</v>
      </c>
      <c r="B112" s="9" t="s">
        <v>44</v>
      </c>
      <c r="C112" s="11">
        <v>193.0</v>
      </c>
      <c r="D112" s="11">
        <v>85.0</v>
      </c>
      <c r="E112" s="9" t="s">
        <v>55</v>
      </c>
      <c r="F112" s="11">
        <v>3.0</v>
      </c>
      <c r="G112" s="9" t="s">
        <v>46</v>
      </c>
      <c r="H112" s="13"/>
      <c r="I112" s="11">
        <v>6.3</v>
      </c>
      <c r="J112" s="11">
        <v>9.2</v>
      </c>
      <c r="K112" s="9" t="s">
        <v>48</v>
      </c>
      <c r="L112" s="9" t="s">
        <v>48</v>
      </c>
      <c r="M112" s="9" t="s">
        <v>48</v>
      </c>
      <c r="N112" s="11">
        <v>10.0</v>
      </c>
    </row>
    <row r="113" ht="15.75" customHeight="1">
      <c r="A113" s="8">
        <v>112.0</v>
      </c>
      <c r="B113" s="9" t="s">
        <v>54</v>
      </c>
      <c r="C113" s="11">
        <v>165.0</v>
      </c>
      <c r="D113" s="11">
        <v>56.0</v>
      </c>
      <c r="E113" s="9" t="s">
        <v>45</v>
      </c>
      <c r="F113" s="11">
        <v>2.0</v>
      </c>
      <c r="G113" s="9" t="s">
        <v>52</v>
      </c>
      <c r="H113" s="9" t="s">
        <v>47</v>
      </c>
      <c r="I113" s="11">
        <v>8.1</v>
      </c>
      <c r="J113" s="11">
        <v>11.2</v>
      </c>
      <c r="K113" s="9" t="s">
        <v>48</v>
      </c>
      <c r="L113" s="9" t="s">
        <v>48</v>
      </c>
      <c r="M113" s="9" t="s">
        <v>48</v>
      </c>
      <c r="N113" s="11">
        <v>5.0</v>
      </c>
    </row>
    <row r="114" ht="15.75" customHeight="1">
      <c r="A114" s="8">
        <v>113.0</v>
      </c>
      <c r="B114" s="9" t="s">
        <v>44</v>
      </c>
      <c r="C114" s="11">
        <v>170.0</v>
      </c>
      <c r="D114" s="11">
        <v>60.0</v>
      </c>
      <c r="E114" s="9" t="s">
        <v>55</v>
      </c>
      <c r="F114" s="11">
        <v>2.0</v>
      </c>
      <c r="G114" s="9" t="s">
        <v>57</v>
      </c>
      <c r="H114" s="9" t="s">
        <v>47</v>
      </c>
      <c r="I114" s="11">
        <v>6.6</v>
      </c>
      <c r="J114" s="11">
        <v>10.017</v>
      </c>
      <c r="K114" s="9" t="s">
        <v>48</v>
      </c>
      <c r="L114" s="9" t="s">
        <v>48</v>
      </c>
      <c r="M114" s="9" t="s">
        <v>48</v>
      </c>
      <c r="N114" s="11">
        <v>5.0</v>
      </c>
    </row>
    <row r="115" ht="15.75" customHeight="1">
      <c r="A115" s="8">
        <v>114.0</v>
      </c>
      <c r="B115" s="9" t="s">
        <v>54</v>
      </c>
      <c r="C115" s="11">
        <v>167.0</v>
      </c>
      <c r="D115" s="11">
        <v>59.0</v>
      </c>
      <c r="E115" s="9" t="s">
        <v>45</v>
      </c>
      <c r="F115" s="11">
        <v>2.0</v>
      </c>
      <c r="G115" s="9" t="s">
        <v>46</v>
      </c>
      <c r="H115" s="9" t="s">
        <v>47</v>
      </c>
      <c r="I115" s="11">
        <v>5.9</v>
      </c>
      <c r="J115" s="11">
        <v>6.2</v>
      </c>
      <c r="K115" s="9" t="s">
        <v>48</v>
      </c>
      <c r="L115" s="9" t="s">
        <v>48</v>
      </c>
      <c r="M115" s="9" t="s">
        <v>48</v>
      </c>
      <c r="N115" s="11">
        <v>1.0</v>
      </c>
    </row>
    <row r="116" ht="15.75" customHeight="1">
      <c r="A116" s="8">
        <v>115.0</v>
      </c>
      <c r="B116" s="9" t="s">
        <v>44</v>
      </c>
      <c r="C116" s="11">
        <v>170.0</v>
      </c>
      <c r="D116" s="11">
        <v>90.0</v>
      </c>
      <c r="E116" s="9" t="s">
        <v>45</v>
      </c>
      <c r="F116" s="11">
        <v>2.0</v>
      </c>
      <c r="G116" s="9" t="s">
        <v>50</v>
      </c>
      <c r="H116" s="9" t="s">
        <v>51</v>
      </c>
      <c r="I116" s="11">
        <v>6.5</v>
      </c>
      <c r="J116" s="11">
        <v>6.5</v>
      </c>
      <c r="K116" s="9" t="s">
        <v>48</v>
      </c>
      <c r="L116" s="9" t="s">
        <v>48</v>
      </c>
      <c r="M116" s="9" t="s">
        <v>48</v>
      </c>
      <c r="N116" s="11">
        <v>1.0</v>
      </c>
    </row>
    <row r="117" ht="15.75" customHeight="1">
      <c r="A117" s="8">
        <v>116.0</v>
      </c>
      <c r="B117" s="9" t="s">
        <v>44</v>
      </c>
      <c r="C117" s="11">
        <v>168.0</v>
      </c>
      <c r="D117" s="11">
        <v>58.0</v>
      </c>
      <c r="E117" s="9" t="s">
        <v>55</v>
      </c>
      <c r="F117" s="11">
        <v>2.0</v>
      </c>
      <c r="G117" s="9" t="s">
        <v>50</v>
      </c>
      <c r="H117" s="9" t="s">
        <v>51</v>
      </c>
      <c r="I117" s="11">
        <v>6.0</v>
      </c>
      <c r="J117" s="11">
        <v>5.0</v>
      </c>
      <c r="K117" s="9" t="s">
        <v>48</v>
      </c>
      <c r="L117" s="9" t="s">
        <v>48</v>
      </c>
      <c r="M117" s="9" t="s">
        <v>48</v>
      </c>
      <c r="N117" s="11">
        <v>10.0</v>
      </c>
    </row>
    <row r="118" ht="15.75" customHeight="1">
      <c r="A118" s="8">
        <v>117.0</v>
      </c>
      <c r="B118" s="9" t="s">
        <v>54</v>
      </c>
      <c r="C118" s="11">
        <v>169.0</v>
      </c>
      <c r="D118" s="11">
        <v>51.0</v>
      </c>
      <c r="E118" s="9" t="s">
        <v>45</v>
      </c>
      <c r="F118" s="12">
        <v>0.0</v>
      </c>
      <c r="G118" s="9" t="s">
        <v>52</v>
      </c>
      <c r="H118" s="9" t="s">
        <v>47</v>
      </c>
      <c r="I118" s="11">
        <v>5.8</v>
      </c>
      <c r="J118" s="11">
        <v>5.2</v>
      </c>
      <c r="K118" s="9" t="s">
        <v>48</v>
      </c>
      <c r="L118" s="9" t="s">
        <v>48</v>
      </c>
      <c r="M118" s="9" t="s">
        <v>48</v>
      </c>
      <c r="N118" s="11">
        <v>10.0</v>
      </c>
    </row>
    <row r="119" ht="15.75" customHeight="1">
      <c r="A119" s="8">
        <v>118.0</v>
      </c>
      <c r="B119" s="9" t="s">
        <v>54</v>
      </c>
      <c r="C119" s="11">
        <v>170.0</v>
      </c>
      <c r="D119" s="11">
        <v>70.0</v>
      </c>
      <c r="E119" s="9" t="s">
        <v>45</v>
      </c>
      <c r="F119" s="11">
        <v>2.0</v>
      </c>
      <c r="G119" s="9" t="s">
        <v>50</v>
      </c>
      <c r="H119" s="9" t="s">
        <v>47</v>
      </c>
      <c r="I119" s="11">
        <v>7.5</v>
      </c>
      <c r="J119" s="11">
        <v>10.5</v>
      </c>
      <c r="K119" s="9" t="s">
        <v>48</v>
      </c>
      <c r="L119" s="9" t="s">
        <v>48</v>
      </c>
      <c r="M119" s="9" t="s">
        <v>48</v>
      </c>
      <c r="N119" s="11">
        <v>70.0</v>
      </c>
    </row>
    <row r="120" ht="15.75" customHeight="1">
      <c r="A120" s="8">
        <v>119.0</v>
      </c>
      <c r="B120" s="9" t="s">
        <v>44</v>
      </c>
      <c r="C120" s="11">
        <v>176.0</v>
      </c>
      <c r="D120" s="11">
        <v>75.0</v>
      </c>
      <c r="E120" s="9" t="s">
        <v>49</v>
      </c>
      <c r="F120" s="12">
        <v>0.0</v>
      </c>
      <c r="G120" s="9" t="s">
        <v>50</v>
      </c>
      <c r="H120" s="9" t="s">
        <v>47</v>
      </c>
      <c r="I120" s="11">
        <v>5.2</v>
      </c>
      <c r="J120" s="11">
        <v>6.3</v>
      </c>
      <c r="K120" s="9" t="s">
        <v>48</v>
      </c>
      <c r="L120" s="9" t="s">
        <v>48</v>
      </c>
      <c r="M120" s="9" t="s">
        <v>48</v>
      </c>
      <c r="N120" s="11">
        <v>12.0</v>
      </c>
    </row>
    <row r="121" ht="15.75" customHeight="1">
      <c r="A121" s="8">
        <v>120.0</v>
      </c>
      <c r="B121" s="9" t="s">
        <v>44</v>
      </c>
      <c r="C121" s="11">
        <v>173.0</v>
      </c>
      <c r="D121" s="11">
        <v>67.0</v>
      </c>
      <c r="E121" s="9" t="s">
        <v>55</v>
      </c>
      <c r="F121" s="11">
        <v>2.0</v>
      </c>
      <c r="G121" s="9" t="s">
        <v>50</v>
      </c>
      <c r="H121" s="9" t="s">
        <v>51</v>
      </c>
      <c r="I121" s="11">
        <v>5.9</v>
      </c>
      <c r="J121" s="11">
        <v>7.4</v>
      </c>
      <c r="K121" s="9" t="s">
        <v>53</v>
      </c>
      <c r="L121" s="9" t="s">
        <v>48</v>
      </c>
      <c r="M121" s="9" t="s">
        <v>48</v>
      </c>
      <c r="N121" s="11">
        <v>10.0</v>
      </c>
    </row>
    <row r="122" ht="15.75" customHeight="1">
      <c r="A122" s="8">
        <v>121.0</v>
      </c>
      <c r="B122" s="9" t="s">
        <v>44</v>
      </c>
      <c r="C122" s="11">
        <v>163.0</v>
      </c>
      <c r="D122" s="11">
        <v>45.0</v>
      </c>
      <c r="E122" s="9" t="s">
        <v>55</v>
      </c>
      <c r="F122" s="11">
        <v>5.0</v>
      </c>
      <c r="G122" s="9" t="s">
        <v>52</v>
      </c>
      <c r="H122" s="9" t="s">
        <v>47</v>
      </c>
      <c r="I122" s="11">
        <v>6.5</v>
      </c>
      <c r="J122" s="11">
        <v>9.0</v>
      </c>
      <c r="K122" s="9" t="s">
        <v>48</v>
      </c>
      <c r="L122" s="9" t="s">
        <v>48</v>
      </c>
      <c r="M122" s="9" t="s">
        <v>48</v>
      </c>
      <c r="N122" s="11">
        <v>7.0</v>
      </c>
    </row>
    <row r="123" ht="15.75" customHeight="1">
      <c r="A123" s="8">
        <v>122.0</v>
      </c>
      <c r="B123" s="9" t="s">
        <v>54</v>
      </c>
      <c r="C123" s="11">
        <v>162.0</v>
      </c>
      <c r="D123" s="11">
        <v>47.0</v>
      </c>
      <c r="E123" s="9" t="s">
        <v>45</v>
      </c>
      <c r="F123" s="11">
        <v>1.0</v>
      </c>
      <c r="G123" s="9" t="s">
        <v>50</v>
      </c>
      <c r="H123" s="9" t="s">
        <v>51</v>
      </c>
      <c r="I123" s="11">
        <v>6.0</v>
      </c>
      <c r="J123" s="11">
        <v>7.0</v>
      </c>
      <c r="K123" s="9" t="s">
        <v>48</v>
      </c>
      <c r="L123" s="9" t="s">
        <v>48</v>
      </c>
      <c r="M123" s="9" t="s">
        <v>48</v>
      </c>
      <c r="N123" s="11">
        <v>5.0</v>
      </c>
    </row>
    <row r="124" ht="15.75" customHeight="1">
      <c r="A124" s="8">
        <v>123.0</v>
      </c>
      <c r="B124" s="9" t="s">
        <v>54</v>
      </c>
      <c r="C124" s="11">
        <v>150.0</v>
      </c>
      <c r="D124" s="11">
        <v>50.0</v>
      </c>
      <c r="E124" s="9" t="s">
        <v>45</v>
      </c>
      <c r="F124" s="11">
        <v>3.0</v>
      </c>
      <c r="G124" s="9" t="s">
        <v>52</v>
      </c>
      <c r="H124" s="9" t="s">
        <v>51</v>
      </c>
      <c r="I124" s="11">
        <v>7.0</v>
      </c>
      <c r="J124" s="11">
        <v>8.0</v>
      </c>
      <c r="K124" s="9" t="s">
        <v>48</v>
      </c>
      <c r="L124" s="9" t="s">
        <v>48</v>
      </c>
      <c r="M124" s="9" t="s">
        <v>48</v>
      </c>
      <c r="N124" s="11">
        <v>0.0</v>
      </c>
    </row>
    <row r="125" ht="15.75" customHeight="1">
      <c r="A125" s="8">
        <v>124.0</v>
      </c>
      <c r="B125" s="13"/>
      <c r="C125" s="11">
        <v>175.0</v>
      </c>
      <c r="D125" s="11">
        <v>72.0</v>
      </c>
      <c r="E125" s="9" t="s">
        <v>49</v>
      </c>
      <c r="F125" s="11">
        <v>2.0</v>
      </c>
      <c r="G125" s="9" t="s">
        <v>46</v>
      </c>
      <c r="H125" s="9" t="s">
        <v>47</v>
      </c>
      <c r="I125" s="11">
        <v>8.0</v>
      </c>
      <c r="J125" s="11">
        <v>9.0</v>
      </c>
      <c r="K125" s="9" t="s">
        <v>48</v>
      </c>
      <c r="L125" s="9" t="s">
        <v>48</v>
      </c>
      <c r="M125" s="9" t="s">
        <v>48</v>
      </c>
      <c r="N125" s="11">
        <v>5.0</v>
      </c>
    </row>
    <row r="126" ht="15.75" customHeight="1">
      <c r="A126" s="8">
        <v>125.0</v>
      </c>
      <c r="B126" s="9" t="s">
        <v>44</v>
      </c>
      <c r="C126" s="11">
        <v>183.0</v>
      </c>
      <c r="D126" s="11">
        <v>65.0</v>
      </c>
      <c r="E126" s="9" t="s">
        <v>55</v>
      </c>
      <c r="F126" s="11">
        <v>1.0</v>
      </c>
      <c r="G126" s="9" t="s">
        <v>46</v>
      </c>
      <c r="H126" s="9" t="s">
        <v>47</v>
      </c>
      <c r="I126" s="11">
        <v>6.0</v>
      </c>
      <c r="J126" s="11">
        <v>4.0</v>
      </c>
      <c r="K126" s="9" t="s">
        <v>48</v>
      </c>
      <c r="L126" s="9" t="s">
        <v>53</v>
      </c>
      <c r="M126" s="9" t="s">
        <v>48</v>
      </c>
      <c r="N126" s="11">
        <v>10.0</v>
      </c>
    </row>
    <row r="127" ht="15.75" customHeight="1">
      <c r="A127" s="8">
        <v>126.0</v>
      </c>
      <c r="B127" s="9" t="s">
        <v>44</v>
      </c>
      <c r="C127" s="11">
        <v>167.0</v>
      </c>
      <c r="D127" s="11">
        <v>65.0</v>
      </c>
      <c r="E127" s="9" t="s">
        <v>55</v>
      </c>
      <c r="F127" s="11">
        <v>2.0</v>
      </c>
      <c r="G127" s="9" t="s">
        <v>52</v>
      </c>
      <c r="H127" s="9" t="s">
        <v>47</v>
      </c>
      <c r="I127" s="11">
        <v>6.0</v>
      </c>
      <c r="J127" s="11">
        <v>7.0</v>
      </c>
      <c r="K127" s="9" t="s">
        <v>48</v>
      </c>
      <c r="L127" s="9" t="s">
        <v>48</v>
      </c>
      <c r="M127" s="9" t="s">
        <v>48</v>
      </c>
      <c r="N127" s="11">
        <v>10.0</v>
      </c>
    </row>
    <row r="128" ht="15.75" customHeight="1">
      <c r="A128" s="8">
        <v>127.0</v>
      </c>
      <c r="B128" s="9" t="s">
        <v>54</v>
      </c>
      <c r="C128" s="11">
        <v>170.0</v>
      </c>
      <c r="D128" s="11">
        <v>58.0</v>
      </c>
      <c r="E128" s="9" t="s">
        <v>58</v>
      </c>
      <c r="F128" s="11">
        <v>2.0</v>
      </c>
      <c r="G128" s="9" t="s">
        <v>46</v>
      </c>
      <c r="H128" s="9" t="s">
        <v>47</v>
      </c>
      <c r="I128" s="11">
        <v>6.12</v>
      </c>
      <c r="J128" s="11">
        <v>9.3</v>
      </c>
      <c r="K128" s="9" t="s">
        <v>48</v>
      </c>
      <c r="L128" s="9" t="s">
        <v>48</v>
      </c>
      <c r="M128" s="9" t="s">
        <v>48</v>
      </c>
      <c r="N128" s="11">
        <v>14.0</v>
      </c>
    </row>
    <row r="129" ht="15.75" customHeight="1">
      <c r="A129" s="8">
        <v>128.0</v>
      </c>
      <c r="B129" s="9" t="s">
        <v>44</v>
      </c>
      <c r="C129" s="11">
        <v>181.0</v>
      </c>
      <c r="D129" s="11">
        <v>78.0</v>
      </c>
      <c r="E129" s="9" t="s">
        <v>49</v>
      </c>
      <c r="F129" s="11">
        <v>2.0</v>
      </c>
      <c r="G129" s="9" t="s">
        <v>52</v>
      </c>
      <c r="H129" s="9" t="s">
        <v>47</v>
      </c>
      <c r="I129" s="11">
        <v>7.0</v>
      </c>
      <c r="J129" s="11">
        <v>5.0</v>
      </c>
      <c r="K129" s="9" t="s">
        <v>48</v>
      </c>
      <c r="L129" s="9" t="s">
        <v>53</v>
      </c>
      <c r="M129" s="9" t="s">
        <v>48</v>
      </c>
      <c r="N129" s="11">
        <v>4.0</v>
      </c>
    </row>
    <row r="130" ht="15.75" customHeight="1">
      <c r="A130" s="8">
        <v>129.0</v>
      </c>
      <c r="B130" s="9" t="s">
        <v>54</v>
      </c>
      <c r="C130" s="11">
        <v>169.0</v>
      </c>
      <c r="D130" s="11">
        <v>57.0</v>
      </c>
      <c r="E130" s="9" t="s">
        <v>58</v>
      </c>
      <c r="F130" s="11">
        <v>1.0</v>
      </c>
      <c r="G130" s="9" t="s">
        <v>46</v>
      </c>
      <c r="H130" s="9" t="s">
        <v>47</v>
      </c>
      <c r="I130" s="11">
        <v>5.7</v>
      </c>
      <c r="J130" s="11">
        <v>7.5</v>
      </c>
      <c r="K130" s="9" t="s">
        <v>48</v>
      </c>
      <c r="L130" s="9" t="s">
        <v>48</v>
      </c>
      <c r="M130" s="9" t="s">
        <v>48</v>
      </c>
      <c r="N130" s="11">
        <v>70.0</v>
      </c>
    </row>
    <row r="131" ht="15.75" customHeight="1">
      <c r="A131" s="8">
        <v>130.0</v>
      </c>
      <c r="B131" s="9" t="s">
        <v>54</v>
      </c>
      <c r="C131" s="11">
        <v>172.0</v>
      </c>
      <c r="D131" s="11">
        <v>52.0</v>
      </c>
      <c r="E131" s="9" t="s">
        <v>58</v>
      </c>
      <c r="F131" s="11">
        <v>6.0</v>
      </c>
      <c r="G131" s="9" t="s">
        <v>46</v>
      </c>
      <c r="H131" s="9" t="s">
        <v>47</v>
      </c>
      <c r="I131" s="11">
        <v>6.0</v>
      </c>
      <c r="J131" s="11">
        <v>5.2</v>
      </c>
      <c r="K131" s="9" t="s">
        <v>48</v>
      </c>
      <c r="L131" s="9" t="s">
        <v>48</v>
      </c>
      <c r="M131" s="9" t="s">
        <v>48</v>
      </c>
      <c r="N131" s="11">
        <v>70.0</v>
      </c>
    </row>
    <row r="132" ht="15.75" customHeight="1">
      <c r="A132" s="8">
        <v>131.0</v>
      </c>
      <c r="B132" s="9" t="s">
        <v>54</v>
      </c>
      <c r="C132" s="11">
        <v>160.0</v>
      </c>
      <c r="D132" s="11">
        <v>48.0</v>
      </c>
      <c r="E132" s="9" t="s">
        <v>55</v>
      </c>
      <c r="F132" s="11">
        <v>3.0</v>
      </c>
      <c r="G132" s="9" t="s">
        <v>50</v>
      </c>
      <c r="H132" s="9" t="s">
        <v>51</v>
      </c>
      <c r="I132" s="11">
        <v>7.5</v>
      </c>
      <c r="J132" s="11">
        <v>8.2</v>
      </c>
      <c r="K132" s="9" t="s">
        <v>48</v>
      </c>
      <c r="L132" s="13"/>
      <c r="M132" s="9" t="s">
        <v>48</v>
      </c>
      <c r="N132" s="11">
        <v>10.0</v>
      </c>
    </row>
    <row r="133" ht="15.75" customHeight="1">
      <c r="A133" s="8">
        <v>132.0</v>
      </c>
      <c r="B133" s="9" t="s">
        <v>54</v>
      </c>
      <c r="C133" s="11">
        <v>173.0</v>
      </c>
      <c r="D133" s="11">
        <v>62.0</v>
      </c>
      <c r="E133" s="9" t="s">
        <v>58</v>
      </c>
      <c r="F133" s="11">
        <v>2.0</v>
      </c>
      <c r="G133" s="9" t="s">
        <v>50</v>
      </c>
      <c r="H133" s="9" t="s">
        <v>51</v>
      </c>
      <c r="I133" s="11">
        <v>7.6</v>
      </c>
      <c r="J133" s="11">
        <v>10.47</v>
      </c>
      <c r="K133" s="9" t="s">
        <v>48</v>
      </c>
      <c r="L133" s="9" t="s">
        <v>48</v>
      </c>
      <c r="M133" s="9" t="s">
        <v>48</v>
      </c>
      <c r="N133" s="11">
        <v>68.0</v>
      </c>
    </row>
    <row r="134" ht="15.75" customHeight="1">
      <c r="A134" s="8">
        <v>133.0</v>
      </c>
      <c r="B134" s="9" t="s">
        <v>44</v>
      </c>
      <c r="C134" s="11">
        <v>182.0</v>
      </c>
      <c r="D134" s="11">
        <v>64.0</v>
      </c>
      <c r="E134" s="9" t="s">
        <v>55</v>
      </c>
      <c r="F134" s="11">
        <v>1.0</v>
      </c>
      <c r="G134" s="9" t="s">
        <v>50</v>
      </c>
      <c r="H134" s="9" t="s">
        <v>47</v>
      </c>
      <c r="I134" s="11">
        <v>6.5</v>
      </c>
      <c r="J134" s="11">
        <v>8.01</v>
      </c>
      <c r="K134" s="9" t="s">
        <v>48</v>
      </c>
      <c r="L134" s="9" t="s">
        <v>48</v>
      </c>
      <c r="M134" s="9" t="s">
        <v>53</v>
      </c>
      <c r="N134" s="11">
        <v>0.0</v>
      </c>
    </row>
    <row r="135" ht="15.75" customHeight="1">
      <c r="A135" s="8">
        <v>134.0</v>
      </c>
      <c r="B135" s="9" t="s">
        <v>54</v>
      </c>
      <c r="C135" s="11">
        <v>168.0</v>
      </c>
      <c r="D135" s="11">
        <v>58.0</v>
      </c>
      <c r="E135" s="9" t="s">
        <v>45</v>
      </c>
      <c r="F135" s="11">
        <v>3.0</v>
      </c>
      <c r="G135" s="9" t="s">
        <v>57</v>
      </c>
      <c r="H135" s="9" t="s">
        <v>47</v>
      </c>
      <c r="I135" s="11">
        <v>5.3</v>
      </c>
      <c r="J135" s="11">
        <v>6.2</v>
      </c>
      <c r="K135" s="9" t="s">
        <v>48</v>
      </c>
      <c r="L135" s="9" t="s">
        <v>48</v>
      </c>
      <c r="M135" s="9" t="s">
        <v>48</v>
      </c>
      <c r="N135" s="11">
        <v>5.0</v>
      </c>
    </row>
    <row r="136" ht="15.75" customHeight="1">
      <c r="A136" s="8">
        <v>135.0</v>
      </c>
      <c r="B136" s="9" t="s">
        <v>54</v>
      </c>
      <c r="C136" s="11">
        <v>163.0</v>
      </c>
      <c r="D136" s="11">
        <v>62.0</v>
      </c>
      <c r="E136" s="9" t="s">
        <v>45</v>
      </c>
      <c r="F136" s="11">
        <v>2.0</v>
      </c>
      <c r="G136" s="9" t="s">
        <v>57</v>
      </c>
      <c r="H136" s="9" t="s">
        <v>47</v>
      </c>
      <c r="I136" s="11">
        <v>8.0</v>
      </c>
      <c r="J136" s="11">
        <v>10.5</v>
      </c>
      <c r="K136" s="9" t="s">
        <v>48</v>
      </c>
      <c r="L136" s="9" t="s">
        <v>48</v>
      </c>
      <c r="M136" s="9" t="s">
        <v>48</v>
      </c>
      <c r="N136" s="11">
        <v>65.0</v>
      </c>
    </row>
    <row r="137" ht="15.75" customHeight="1">
      <c r="A137" s="8">
        <v>136.0</v>
      </c>
      <c r="B137" s="9" t="s">
        <v>54</v>
      </c>
      <c r="C137" s="14">
        <v>1.6</v>
      </c>
      <c r="D137" s="11">
        <v>53.0</v>
      </c>
      <c r="E137" s="9" t="s">
        <v>45</v>
      </c>
      <c r="F137" s="11">
        <v>2.0</v>
      </c>
      <c r="G137" s="9" t="s">
        <v>57</v>
      </c>
      <c r="H137" s="9" t="s">
        <v>51</v>
      </c>
      <c r="I137" s="11">
        <v>5.3</v>
      </c>
      <c r="J137" s="11">
        <v>5.7</v>
      </c>
      <c r="K137" s="9" t="s">
        <v>48</v>
      </c>
      <c r="L137" s="9" t="s">
        <v>48</v>
      </c>
      <c r="M137" s="9" t="s">
        <v>48</v>
      </c>
      <c r="N137" s="11">
        <v>50.0</v>
      </c>
    </row>
    <row r="138" ht="15.75" customHeight="1">
      <c r="A138" s="8">
        <v>137.0</v>
      </c>
      <c r="B138" s="9" t="s">
        <v>44</v>
      </c>
      <c r="C138" s="11">
        <v>180.0</v>
      </c>
      <c r="D138" s="11">
        <v>75.0</v>
      </c>
      <c r="E138" s="9" t="s">
        <v>49</v>
      </c>
      <c r="F138" s="12">
        <v>0.0</v>
      </c>
      <c r="G138" s="9" t="s">
        <v>50</v>
      </c>
      <c r="H138" s="9" t="s">
        <v>47</v>
      </c>
      <c r="I138" s="11">
        <v>7.0</v>
      </c>
      <c r="J138" s="11">
        <v>7.9</v>
      </c>
      <c r="K138" s="9" t="s">
        <v>48</v>
      </c>
      <c r="L138" s="9" t="s">
        <v>48</v>
      </c>
      <c r="M138" s="9" t="s">
        <v>48</v>
      </c>
      <c r="N138" s="11">
        <v>12.0</v>
      </c>
    </row>
    <row r="139" ht="15.75" customHeight="1">
      <c r="A139" s="8">
        <v>138.0</v>
      </c>
      <c r="B139" s="9" t="s">
        <v>44</v>
      </c>
      <c r="C139" s="11">
        <v>177.0</v>
      </c>
      <c r="D139" s="11">
        <v>80.0</v>
      </c>
      <c r="E139" s="9" t="s">
        <v>55</v>
      </c>
      <c r="F139" s="12">
        <v>0.0</v>
      </c>
      <c r="G139" s="9" t="s">
        <v>50</v>
      </c>
      <c r="H139" s="9" t="s">
        <v>47</v>
      </c>
      <c r="I139" s="11">
        <v>6.3</v>
      </c>
      <c r="J139" s="11">
        <v>5.85</v>
      </c>
      <c r="K139" s="9" t="s">
        <v>48</v>
      </c>
      <c r="L139" s="9" t="s">
        <v>48</v>
      </c>
      <c r="M139" s="9" t="s">
        <v>48</v>
      </c>
      <c r="N139" s="11">
        <v>13.0</v>
      </c>
    </row>
    <row r="140" ht="15.75" customHeight="1">
      <c r="A140" s="8">
        <v>139.0</v>
      </c>
      <c r="B140" s="9" t="s">
        <v>44</v>
      </c>
      <c r="C140" s="11">
        <v>174.0</v>
      </c>
      <c r="D140" s="11">
        <v>80.0</v>
      </c>
      <c r="E140" s="9" t="s">
        <v>55</v>
      </c>
      <c r="F140" s="11">
        <v>3.0</v>
      </c>
      <c r="G140" s="9" t="s">
        <v>50</v>
      </c>
      <c r="H140" s="9" t="s">
        <v>47</v>
      </c>
      <c r="I140" s="11">
        <v>6.0</v>
      </c>
      <c r="J140" s="11">
        <v>6.0</v>
      </c>
      <c r="K140" s="9" t="s">
        <v>48</v>
      </c>
      <c r="L140" s="9" t="s">
        <v>48</v>
      </c>
      <c r="M140" s="9" t="s">
        <v>48</v>
      </c>
      <c r="N140" s="11">
        <v>2.0</v>
      </c>
    </row>
    <row r="141" ht="15.75" customHeight="1">
      <c r="A141" s="8">
        <v>140.0</v>
      </c>
      <c r="B141" s="9" t="s">
        <v>54</v>
      </c>
      <c r="C141" s="11">
        <v>160.0</v>
      </c>
      <c r="D141" s="11">
        <v>50.0</v>
      </c>
      <c r="E141" s="9" t="s">
        <v>45</v>
      </c>
      <c r="F141" s="11">
        <v>2.0</v>
      </c>
      <c r="G141" s="9" t="s">
        <v>46</v>
      </c>
      <c r="H141" s="9" t="s">
        <v>47</v>
      </c>
      <c r="I141" s="11">
        <v>5.41</v>
      </c>
      <c r="J141" s="11">
        <v>5.2</v>
      </c>
      <c r="K141" s="9" t="s">
        <v>48</v>
      </c>
      <c r="L141" s="9" t="s">
        <v>48</v>
      </c>
      <c r="M141" s="9" t="s">
        <v>48</v>
      </c>
      <c r="N141" s="11">
        <v>6.0</v>
      </c>
    </row>
    <row r="142" ht="15.75" customHeight="1">
      <c r="A142" s="8">
        <v>141.0</v>
      </c>
      <c r="B142" s="9" t="s">
        <v>54</v>
      </c>
      <c r="C142" s="11">
        <v>160.0</v>
      </c>
      <c r="D142" s="11">
        <v>52.0</v>
      </c>
      <c r="E142" s="9" t="s">
        <v>45</v>
      </c>
      <c r="F142" s="11">
        <v>1.0</v>
      </c>
      <c r="G142" s="9" t="s">
        <v>50</v>
      </c>
      <c r="H142" s="9" t="s">
        <v>47</v>
      </c>
      <c r="I142" s="11">
        <v>5.6</v>
      </c>
      <c r="J142" s="11">
        <v>6.0</v>
      </c>
      <c r="K142" s="9" t="s">
        <v>48</v>
      </c>
      <c r="L142" s="9" t="s">
        <v>48</v>
      </c>
      <c r="M142" s="9" t="s">
        <v>48</v>
      </c>
      <c r="N142" s="11">
        <v>6.0</v>
      </c>
    </row>
    <row r="143" ht="15.75" customHeight="1">
      <c r="A143" s="8">
        <v>142.0</v>
      </c>
      <c r="B143" s="9" t="s">
        <v>44</v>
      </c>
      <c r="C143" s="11">
        <v>190.0</v>
      </c>
      <c r="D143" s="11">
        <v>85.0</v>
      </c>
      <c r="E143" s="9" t="s">
        <v>45</v>
      </c>
      <c r="F143" s="11">
        <v>2.0</v>
      </c>
      <c r="G143" s="9" t="s">
        <v>46</v>
      </c>
      <c r="H143" s="9" t="s">
        <v>47</v>
      </c>
      <c r="I143" s="11">
        <v>6.0</v>
      </c>
      <c r="J143" s="11">
        <v>8.0</v>
      </c>
      <c r="K143" s="9" t="s">
        <v>48</v>
      </c>
      <c r="L143" s="9" t="s">
        <v>48</v>
      </c>
      <c r="M143" s="9" t="s">
        <v>48</v>
      </c>
      <c r="N143" s="11">
        <v>2.0</v>
      </c>
    </row>
    <row r="144" ht="15.75" customHeight="1">
      <c r="A144" s="15" t="s">
        <v>59</v>
      </c>
      <c r="B144" s="16">
        <v>0.0</v>
      </c>
      <c r="C144" s="17">
        <v>3.0</v>
      </c>
      <c r="D144" s="18">
        <v>5.0</v>
      </c>
      <c r="E144" s="18">
        <v>0.0</v>
      </c>
      <c r="F144" s="18">
        <f>COUNTIF(F2:F143,0)</f>
        <v>15</v>
      </c>
      <c r="G144" s="18">
        <v>0.0</v>
      </c>
      <c r="H144" s="18">
        <v>0.0</v>
      </c>
      <c r="I144" s="18">
        <v>6.0</v>
      </c>
      <c r="J144" s="18">
        <v>11.0</v>
      </c>
      <c r="K144" s="18">
        <v>0.0</v>
      </c>
      <c r="L144" s="18">
        <v>0.0</v>
      </c>
      <c r="M144" s="18">
        <v>0.0</v>
      </c>
      <c r="N144" s="18">
        <v>6.0</v>
      </c>
    </row>
    <row r="145" ht="15.75" customHeight="1">
      <c r="A145" s="19" t="s">
        <v>60</v>
      </c>
      <c r="B145" s="20">
        <v>0.0</v>
      </c>
      <c r="C145" s="21">
        <f>COUNTIF(C2:C143,"&lt;=120")-COUNTIF(C2:C143,0)</f>
        <v>14</v>
      </c>
      <c r="D145" s="21">
        <v>0.0</v>
      </c>
      <c r="E145" s="21">
        <v>0.0</v>
      </c>
      <c r="F145" s="21">
        <v>0.0</v>
      </c>
      <c r="G145" s="21">
        <v>0.0</v>
      </c>
      <c r="H145" s="21">
        <v>0.0</v>
      </c>
      <c r="I145" s="21">
        <v>0.0</v>
      </c>
      <c r="J145" s="21">
        <v>0.0</v>
      </c>
      <c r="K145" s="21">
        <v>0.0</v>
      </c>
      <c r="L145" s="21">
        <v>0.0</v>
      </c>
      <c r="M145" s="21">
        <v>0.0</v>
      </c>
      <c r="N145" s="21">
        <v>0.0</v>
      </c>
    </row>
    <row r="146" ht="15.75" customHeight="1">
      <c r="A146" s="22" t="s">
        <v>61</v>
      </c>
      <c r="B146" s="13">
        <f t="shared" ref="B146:N146" si="1">COUNTBLANK(B2:B143)</f>
        <v>3</v>
      </c>
      <c r="C146" s="13">
        <f t="shared" si="1"/>
        <v>0</v>
      </c>
      <c r="D146" s="13">
        <f t="shared" si="1"/>
        <v>0</v>
      </c>
      <c r="E146" s="13">
        <f t="shared" si="1"/>
        <v>2</v>
      </c>
      <c r="F146" s="13">
        <f t="shared" si="1"/>
        <v>0</v>
      </c>
      <c r="G146" s="13">
        <f t="shared" si="1"/>
        <v>3</v>
      </c>
      <c r="H146" s="13">
        <f t="shared" si="1"/>
        <v>4</v>
      </c>
      <c r="I146" s="13">
        <f t="shared" si="1"/>
        <v>0</v>
      </c>
      <c r="J146" s="13">
        <f t="shared" si="1"/>
        <v>0</v>
      </c>
      <c r="K146" s="13">
        <f t="shared" si="1"/>
        <v>4</v>
      </c>
      <c r="L146" s="13">
        <f t="shared" si="1"/>
        <v>4</v>
      </c>
      <c r="M146" s="13">
        <f t="shared" si="1"/>
        <v>3</v>
      </c>
      <c r="N146" s="13">
        <f t="shared" si="1"/>
        <v>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86"/>
    <col customWidth="1" min="2" max="3" width="17.29"/>
    <col customWidth="1" min="4" max="4" width="15.57"/>
    <col customWidth="1" min="5" max="5" width="9.14"/>
    <col customWidth="1" min="6" max="6" width="13.29"/>
    <col customWidth="1" min="7" max="7" width="43.14"/>
    <col customWidth="1" min="8" max="8" width="12.29"/>
    <col customWidth="1" min="9" max="9" width="16.29"/>
    <col customWidth="1" min="10" max="10" width="39.43"/>
    <col customWidth="1" min="11" max="11" width="12.14"/>
    <col customWidth="1" min="12" max="12" width="17.14"/>
    <col customWidth="1" min="13" max="13" width="13.57"/>
    <col customWidth="1" min="14" max="14" width="14.29"/>
    <col customWidth="1" min="15" max="15" width="15.86"/>
    <col customWidth="1" min="16" max="17" width="12.43"/>
    <col customWidth="1" min="18" max="18" width="10.29"/>
    <col customWidth="1" min="19" max="19" width="15.43"/>
    <col customWidth="1" min="20" max="20" width="13.0"/>
    <col customWidth="1" min="21" max="21" width="12.43"/>
    <col customWidth="1" min="22" max="26" width="9.14"/>
  </cols>
  <sheetData>
    <row r="1">
      <c r="A1" s="6" t="s">
        <v>41</v>
      </c>
      <c r="B1" s="7" t="s">
        <v>29</v>
      </c>
      <c r="C1" s="7" t="s">
        <v>2</v>
      </c>
      <c r="D1" s="7" t="s">
        <v>4</v>
      </c>
      <c r="E1" s="7" t="s">
        <v>6</v>
      </c>
      <c r="F1" s="7" t="s">
        <v>31</v>
      </c>
      <c r="G1" s="7" t="s">
        <v>8</v>
      </c>
      <c r="H1" s="7" t="s">
        <v>10</v>
      </c>
      <c r="I1" s="7" t="s">
        <v>33</v>
      </c>
      <c r="J1" s="7" t="s">
        <v>12</v>
      </c>
      <c r="K1" s="7" t="s">
        <v>35</v>
      </c>
      <c r="L1" s="7" t="s">
        <v>14</v>
      </c>
      <c r="M1" s="7" t="s">
        <v>42</v>
      </c>
      <c r="N1" s="7" t="s">
        <v>62</v>
      </c>
      <c r="O1" s="7" t="s">
        <v>37</v>
      </c>
      <c r="P1" s="7" t="s">
        <v>20</v>
      </c>
      <c r="Q1" s="7" t="s">
        <v>39</v>
      </c>
      <c r="R1" s="7" t="s">
        <v>22</v>
      </c>
      <c r="S1" s="7" t="s">
        <v>40</v>
      </c>
      <c r="T1" s="7" t="s">
        <v>63</v>
      </c>
      <c r="U1" s="7" t="s">
        <v>26</v>
      </c>
    </row>
    <row r="2">
      <c r="A2" s="8">
        <v>1.0</v>
      </c>
      <c r="B2" s="9">
        <v>1.0</v>
      </c>
      <c r="C2" s="9" t="s">
        <v>44</v>
      </c>
      <c r="D2" s="23"/>
      <c r="E2" s="24"/>
      <c r="F2" s="9">
        <v>1.0</v>
      </c>
      <c r="G2" s="9" t="s">
        <v>45</v>
      </c>
      <c r="H2" s="24"/>
      <c r="I2" s="9">
        <v>3.0</v>
      </c>
      <c r="J2" s="9" t="s">
        <v>46</v>
      </c>
      <c r="K2" s="9">
        <v>0.0</v>
      </c>
      <c r="L2" s="9" t="s">
        <v>47</v>
      </c>
      <c r="M2" s="24"/>
      <c r="N2" s="24"/>
      <c r="O2" s="25">
        <v>1.0</v>
      </c>
      <c r="P2" s="25" t="s">
        <v>48</v>
      </c>
      <c r="Q2" s="25">
        <v>1.0</v>
      </c>
      <c r="R2" s="25" t="s">
        <v>48</v>
      </c>
      <c r="S2" s="25">
        <v>1.0</v>
      </c>
      <c r="T2" s="25" t="s">
        <v>48</v>
      </c>
      <c r="U2" s="24"/>
    </row>
    <row r="3">
      <c r="A3" s="8">
        <v>2.0</v>
      </c>
      <c r="B3" s="9">
        <v>1.0</v>
      </c>
      <c r="C3" s="9" t="s">
        <v>44</v>
      </c>
      <c r="D3" s="23"/>
      <c r="E3" s="24"/>
      <c r="F3" s="9">
        <v>3.0</v>
      </c>
      <c r="G3" s="9" t="s">
        <v>49</v>
      </c>
      <c r="H3" s="24"/>
      <c r="I3" s="9">
        <v>0.0</v>
      </c>
      <c r="J3" s="9" t="s">
        <v>50</v>
      </c>
      <c r="K3" s="9">
        <v>1.0</v>
      </c>
      <c r="L3" s="9" t="s">
        <v>51</v>
      </c>
      <c r="M3" s="24"/>
      <c r="N3" s="24"/>
      <c r="O3" s="25">
        <v>1.0</v>
      </c>
      <c r="P3" s="25" t="s">
        <v>48</v>
      </c>
      <c r="Q3" s="25">
        <v>1.0</v>
      </c>
      <c r="R3" s="25" t="s">
        <v>48</v>
      </c>
      <c r="S3" s="25">
        <v>1.0</v>
      </c>
      <c r="T3" s="25" t="s">
        <v>48</v>
      </c>
      <c r="U3" s="24"/>
    </row>
    <row r="4">
      <c r="A4" s="8">
        <v>3.0</v>
      </c>
      <c r="B4" s="9">
        <v>1.0</v>
      </c>
      <c r="C4" s="9" t="s">
        <v>44</v>
      </c>
      <c r="D4" s="23"/>
      <c r="E4" s="24"/>
      <c r="F4" s="9">
        <v>3.0</v>
      </c>
      <c r="G4" s="9" t="s">
        <v>49</v>
      </c>
      <c r="H4" s="24"/>
      <c r="I4" s="9">
        <v>2.0</v>
      </c>
      <c r="J4" s="9" t="s">
        <v>52</v>
      </c>
      <c r="K4" s="9">
        <v>0.0</v>
      </c>
      <c r="L4" s="9" t="s">
        <v>47</v>
      </c>
      <c r="M4" s="24"/>
      <c r="N4" s="24"/>
      <c r="O4" s="25">
        <v>1.0</v>
      </c>
      <c r="P4" s="25" t="s">
        <v>48</v>
      </c>
      <c r="Q4" s="25">
        <v>0.0</v>
      </c>
      <c r="R4" s="25" t="s">
        <v>53</v>
      </c>
      <c r="S4" s="25">
        <v>1.0</v>
      </c>
      <c r="T4" s="25" t="s">
        <v>48</v>
      </c>
      <c r="U4" s="24"/>
    </row>
    <row r="5">
      <c r="A5" s="8">
        <v>4.0</v>
      </c>
      <c r="B5" s="9">
        <v>0.0</v>
      </c>
      <c r="C5" s="9" t="s">
        <v>54</v>
      </c>
      <c r="D5" s="26">
        <v>162.0</v>
      </c>
      <c r="E5" s="11">
        <v>52.5</v>
      </c>
      <c r="F5" s="9">
        <v>2.0</v>
      </c>
      <c r="G5" s="9" t="s">
        <v>55</v>
      </c>
      <c r="H5" s="11">
        <v>4.0</v>
      </c>
      <c r="I5" s="9">
        <v>0.0</v>
      </c>
      <c r="J5" s="9" t="s">
        <v>50</v>
      </c>
      <c r="K5" s="9">
        <v>0.0</v>
      </c>
      <c r="L5" s="9" t="s">
        <v>47</v>
      </c>
      <c r="M5" s="11">
        <v>9.0</v>
      </c>
      <c r="N5" s="11">
        <v>11.0</v>
      </c>
      <c r="O5" s="25">
        <v>1.0</v>
      </c>
      <c r="P5" s="25" t="s">
        <v>48</v>
      </c>
      <c r="Q5" s="25">
        <v>1.0</v>
      </c>
      <c r="R5" s="25" t="s">
        <v>48</v>
      </c>
      <c r="S5" s="25">
        <v>0.0</v>
      </c>
      <c r="T5" s="25" t="s">
        <v>53</v>
      </c>
      <c r="U5" s="24">
        <v>0.0</v>
      </c>
    </row>
    <row r="6">
      <c r="A6" s="8">
        <v>5.0</v>
      </c>
      <c r="B6" s="9">
        <v>1.0</v>
      </c>
      <c r="C6" s="9" t="s">
        <v>44</v>
      </c>
      <c r="D6" s="26">
        <v>182.0</v>
      </c>
      <c r="E6" s="11">
        <v>76.0</v>
      </c>
      <c r="F6" s="9">
        <v>3.0</v>
      </c>
      <c r="G6" s="9" t="s">
        <v>49</v>
      </c>
      <c r="H6" s="11">
        <v>2.0</v>
      </c>
      <c r="I6" s="9">
        <v>2.0</v>
      </c>
      <c r="J6" s="9" t="s">
        <v>52</v>
      </c>
      <c r="K6" s="9">
        <v>0.0</v>
      </c>
      <c r="L6" s="9" t="s">
        <v>47</v>
      </c>
      <c r="M6" s="11">
        <v>7.0</v>
      </c>
      <c r="N6" s="11">
        <v>7.0</v>
      </c>
      <c r="O6" s="25">
        <v>1.0</v>
      </c>
      <c r="P6" s="25" t="s">
        <v>48</v>
      </c>
      <c r="Q6" s="25">
        <v>1.0</v>
      </c>
      <c r="R6" s="25" t="s">
        <v>48</v>
      </c>
      <c r="S6" s="25">
        <v>1.0</v>
      </c>
      <c r="T6" s="25" t="s">
        <v>48</v>
      </c>
      <c r="U6" s="24">
        <v>10.0</v>
      </c>
    </row>
    <row r="7">
      <c r="A7" s="8">
        <v>6.0</v>
      </c>
      <c r="B7" s="9">
        <v>1.0</v>
      </c>
      <c r="C7" s="9" t="s">
        <v>44</v>
      </c>
      <c r="D7" s="26">
        <v>185.0</v>
      </c>
      <c r="E7" s="11">
        <v>84.0</v>
      </c>
      <c r="F7" s="9">
        <v>4.0</v>
      </c>
      <c r="G7" s="9" t="s">
        <v>56</v>
      </c>
      <c r="H7" s="11">
        <v>2.0</v>
      </c>
      <c r="I7" s="9">
        <v>0.0</v>
      </c>
      <c r="J7" s="9" t="s">
        <v>50</v>
      </c>
      <c r="K7" s="9">
        <v>0.0</v>
      </c>
      <c r="L7" s="9" t="s">
        <v>47</v>
      </c>
      <c r="M7" s="11">
        <v>6.0</v>
      </c>
      <c r="N7" s="24"/>
      <c r="O7" s="25">
        <v>1.0</v>
      </c>
      <c r="P7" s="25" t="s">
        <v>48</v>
      </c>
      <c r="Q7" s="25">
        <v>1.0</v>
      </c>
      <c r="R7" s="25" t="s">
        <v>48</v>
      </c>
      <c r="S7" s="25">
        <v>1.0</v>
      </c>
      <c r="T7" s="25" t="s">
        <v>48</v>
      </c>
      <c r="U7" s="24">
        <v>2.0</v>
      </c>
    </row>
    <row r="8">
      <c r="A8" s="8">
        <v>7.0</v>
      </c>
      <c r="B8" s="9">
        <v>1.0</v>
      </c>
      <c r="C8" s="9" t="s">
        <v>44</v>
      </c>
      <c r="D8" s="26">
        <v>170.0</v>
      </c>
      <c r="E8" s="11">
        <v>60.0</v>
      </c>
      <c r="F8" s="9">
        <v>1.0</v>
      </c>
      <c r="G8" s="9" t="s">
        <v>45</v>
      </c>
      <c r="H8" s="11">
        <v>3.0</v>
      </c>
      <c r="I8" s="9">
        <v>0.0</v>
      </c>
      <c r="J8" s="9" t="s">
        <v>50</v>
      </c>
      <c r="K8" s="9">
        <v>0.0</v>
      </c>
      <c r="L8" s="9" t="s">
        <v>47</v>
      </c>
      <c r="M8" s="11">
        <v>8.0</v>
      </c>
      <c r="N8" s="11">
        <v>8.0</v>
      </c>
      <c r="O8" s="25">
        <v>1.0</v>
      </c>
      <c r="P8" s="25" t="s">
        <v>48</v>
      </c>
      <c r="Q8" s="25">
        <v>1.0</v>
      </c>
      <c r="R8" s="25" t="s">
        <v>48</v>
      </c>
      <c r="S8" s="25">
        <v>1.0</v>
      </c>
      <c r="T8" s="25" t="s">
        <v>48</v>
      </c>
      <c r="U8" s="24">
        <v>30.0</v>
      </c>
    </row>
    <row r="9">
      <c r="A9" s="8">
        <v>8.0</v>
      </c>
      <c r="B9" s="9">
        <v>0.0</v>
      </c>
      <c r="C9" s="9" t="s">
        <v>54</v>
      </c>
      <c r="D9" s="26">
        <v>172.0</v>
      </c>
      <c r="E9" s="11">
        <v>72.0</v>
      </c>
      <c r="F9" s="9">
        <v>2.0</v>
      </c>
      <c r="G9" s="9" t="s">
        <v>55</v>
      </c>
      <c r="H9" s="11">
        <v>2.0</v>
      </c>
      <c r="I9" s="9">
        <v>1.0</v>
      </c>
      <c r="J9" s="9" t="s">
        <v>57</v>
      </c>
      <c r="K9" s="9">
        <v>0.0</v>
      </c>
      <c r="L9" s="9" t="s">
        <v>47</v>
      </c>
      <c r="M9" s="11">
        <v>6.9</v>
      </c>
      <c r="N9" s="11">
        <v>8.9</v>
      </c>
      <c r="O9" s="25">
        <v>1.0</v>
      </c>
      <c r="P9" s="25" t="s">
        <v>48</v>
      </c>
      <c r="Q9" s="25">
        <v>1.0</v>
      </c>
      <c r="R9" s="25" t="s">
        <v>48</v>
      </c>
      <c r="S9" s="25">
        <v>1.0</v>
      </c>
      <c r="T9" s="25" t="s">
        <v>48</v>
      </c>
      <c r="U9" s="24">
        <v>3.0</v>
      </c>
    </row>
    <row r="10">
      <c r="A10" s="8">
        <v>9.0</v>
      </c>
      <c r="B10" s="9">
        <v>0.0</v>
      </c>
      <c r="C10" s="9" t="s">
        <v>54</v>
      </c>
      <c r="D10" s="26">
        <v>159.0</v>
      </c>
      <c r="E10" s="11">
        <v>51.0</v>
      </c>
      <c r="F10" s="9">
        <v>1.0</v>
      </c>
      <c r="G10" s="9" t="s">
        <v>45</v>
      </c>
      <c r="H10" s="11">
        <v>2.0</v>
      </c>
      <c r="I10" s="9">
        <v>0.0</v>
      </c>
      <c r="J10" s="9" t="s">
        <v>50</v>
      </c>
      <c r="K10" s="9">
        <v>0.0</v>
      </c>
      <c r="L10" s="9" t="s">
        <v>47</v>
      </c>
      <c r="M10" s="11">
        <v>7.3</v>
      </c>
      <c r="N10" s="11">
        <v>7.5</v>
      </c>
      <c r="O10" s="27"/>
      <c r="P10" s="27"/>
      <c r="Q10" s="27"/>
      <c r="R10" s="27"/>
      <c r="S10" s="27"/>
      <c r="T10" s="27"/>
      <c r="U10" s="24"/>
    </row>
    <row r="11">
      <c r="A11" s="8">
        <v>10.0</v>
      </c>
      <c r="B11" s="9">
        <v>1.0</v>
      </c>
      <c r="C11" s="9" t="s">
        <v>44</v>
      </c>
      <c r="D11" s="26">
        <v>182.0</v>
      </c>
      <c r="E11" s="11">
        <v>76.0</v>
      </c>
      <c r="F11" s="9">
        <v>3.0</v>
      </c>
      <c r="G11" s="9" t="s">
        <v>49</v>
      </c>
      <c r="H11" s="11">
        <v>2.0</v>
      </c>
      <c r="I11" s="9">
        <v>1.0</v>
      </c>
      <c r="J11" s="9" t="s">
        <v>57</v>
      </c>
      <c r="K11" s="9">
        <v>0.0</v>
      </c>
      <c r="L11" s="9" t="s">
        <v>47</v>
      </c>
      <c r="M11" s="11">
        <v>5.58</v>
      </c>
      <c r="N11" s="11">
        <v>5.2</v>
      </c>
      <c r="O11" s="9">
        <v>1.0</v>
      </c>
      <c r="P11" s="9" t="s">
        <v>48</v>
      </c>
      <c r="Q11" s="9">
        <v>1.0</v>
      </c>
      <c r="R11" s="9" t="s">
        <v>48</v>
      </c>
      <c r="S11" s="9">
        <v>1.0</v>
      </c>
      <c r="T11" s="9" t="s">
        <v>48</v>
      </c>
      <c r="U11" s="11">
        <v>8.0</v>
      </c>
    </row>
    <row r="12">
      <c r="A12" s="8">
        <v>11.0</v>
      </c>
      <c r="B12" s="9">
        <v>0.0</v>
      </c>
      <c r="C12" s="9" t="s">
        <v>54</v>
      </c>
      <c r="D12" s="23">
        <v>160.0</v>
      </c>
      <c r="E12" s="11">
        <v>50.0</v>
      </c>
      <c r="F12" s="9">
        <v>1.0</v>
      </c>
      <c r="G12" s="9" t="s">
        <v>45</v>
      </c>
      <c r="H12" s="11">
        <v>2.0</v>
      </c>
      <c r="I12" s="9">
        <v>1.0</v>
      </c>
      <c r="J12" s="9" t="s">
        <v>57</v>
      </c>
      <c r="K12" s="9">
        <v>0.0</v>
      </c>
      <c r="L12" s="9" t="s">
        <v>47</v>
      </c>
      <c r="M12" s="11">
        <v>6.0</v>
      </c>
      <c r="N12" s="11">
        <v>7.6</v>
      </c>
      <c r="O12" s="9">
        <v>1.0</v>
      </c>
      <c r="P12" s="9" t="s">
        <v>48</v>
      </c>
      <c r="Q12" s="9">
        <v>1.0</v>
      </c>
      <c r="R12" s="9" t="s">
        <v>48</v>
      </c>
      <c r="S12" s="9">
        <v>0.0</v>
      </c>
      <c r="T12" s="9" t="s">
        <v>53</v>
      </c>
      <c r="U12" s="11">
        <v>0.0</v>
      </c>
    </row>
    <row r="13">
      <c r="A13" s="8">
        <v>12.0</v>
      </c>
      <c r="B13" s="9">
        <v>1.0</v>
      </c>
      <c r="C13" s="9" t="s">
        <v>44</v>
      </c>
      <c r="D13" s="26">
        <v>182.0</v>
      </c>
      <c r="E13" s="11">
        <v>65.0</v>
      </c>
      <c r="F13" s="9">
        <v>3.0</v>
      </c>
      <c r="G13" s="9" t="s">
        <v>49</v>
      </c>
      <c r="H13" s="11">
        <v>3.0</v>
      </c>
      <c r="I13" s="9">
        <v>0.0</v>
      </c>
      <c r="J13" s="9" t="s">
        <v>50</v>
      </c>
      <c r="K13" s="9">
        <v>0.0</v>
      </c>
      <c r="L13" s="9" t="s">
        <v>47</v>
      </c>
      <c r="M13" s="11">
        <v>7.5</v>
      </c>
      <c r="N13" s="11">
        <v>9.303</v>
      </c>
      <c r="O13" s="9">
        <v>1.0</v>
      </c>
      <c r="P13" s="9" t="s">
        <v>48</v>
      </c>
      <c r="Q13" s="9">
        <v>1.0</v>
      </c>
      <c r="R13" s="9" t="s">
        <v>48</v>
      </c>
      <c r="S13" s="9">
        <v>1.0</v>
      </c>
      <c r="T13" s="9" t="s">
        <v>48</v>
      </c>
      <c r="U13" s="11">
        <v>10.0</v>
      </c>
    </row>
    <row r="14">
      <c r="A14" s="8">
        <v>13.0</v>
      </c>
      <c r="B14" s="9">
        <v>1.0</v>
      </c>
      <c r="C14" s="9" t="s">
        <v>44</v>
      </c>
      <c r="D14" s="26">
        <v>180.0</v>
      </c>
      <c r="E14" s="11">
        <v>71.0</v>
      </c>
      <c r="F14" s="9">
        <v>3.0</v>
      </c>
      <c r="G14" s="9" t="s">
        <v>49</v>
      </c>
      <c r="H14" s="11">
        <v>1.0</v>
      </c>
      <c r="I14" s="9">
        <v>0.0</v>
      </c>
      <c r="J14" s="9" t="s">
        <v>50</v>
      </c>
      <c r="K14" s="9">
        <v>1.0</v>
      </c>
      <c r="L14" s="9" t="s">
        <v>51</v>
      </c>
      <c r="M14" s="11">
        <v>5.5</v>
      </c>
      <c r="N14" s="11">
        <v>5.9</v>
      </c>
      <c r="O14" s="9">
        <v>1.0</v>
      </c>
      <c r="P14" s="9" t="s">
        <v>48</v>
      </c>
      <c r="Q14" s="9">
        <v>1.0</v>
      </c>
      <c r="R14" s="9" t="s">
        <v>48</v>
      </c>
      <c r="S14" s="9">
        <v>1.0</v>
      </c>
      <c r="T14" s="9" t="s">
        <v>48</v>
      </c>
      <c r="U14" s="11">
        <v>20.0</v>
      </c>
    </row>
    <row r="15">
      <c r="A15" s="8">
        <v>14.0</v>
      </c>
      <c r="B15" s="9">
        <v>1.0</v>
      </c>
      <c r="C15" s="9" t="s">
        <v>44</v>
      </c>
      <c r="D15" s="26">
        <v>178.0</v>
      </c>
      <c r="E15" s="11">
        <v>76.0</v>
      </c>
      <c r="F15" s="9">
        <v>4.0</v>
      </c>
      <c r="G15" s="9" t="s">
        <v>56</v>
      </c>
      <c r="H15" s="11">
        <v>2.0</v>
      </c>
      <c r="I15" s="9">
        <v>0.0</v>
      </c>
      <c r="J15" s="9" t="s">
        <v>50</v>
      </c>
      <c r="K15" s="9">
        <v>1.0</v>
      </c>
      <c r="L15" s="9" t="s">
        <v>51</v>
      </c>
      <c r="M15" s="11">
        <v>5.6</v>
      </c>
      <c r="N15" s="11">
        <v>6.8</v>
      </c>
      <c r="O15" s="9">
        <v>1.0</v>
      </c>
      <c r="P15" s="9" t="s">
        <v>48</v>
      </c>
      <c r="Q15" s="9">
        <v>1.0</v>
      </c>
      <c r="R15" s="9" t="s">
        <v>48</v>
      </c>
      <c r="S15" s="9">
        <v>1.0</v>
      </c>
      <c r="T15" s="9" t="s">
        <v>48</v>
      </c>
      <c r="U15" s="11">
        <v>7.0</v>
      </c>
    </row>
    <row r="16">
      <c r="A16" s="8">
        <v>15.0</v>
      </c>
      <c r="B16" s="9">
        <v>0.0</v>
      </c>
      <c r="C16" s="9" t="s">
        <v>54</v>
      </c>
      <c r="D16" s="26">
        <v>163.0</v>
      </c>
      <c r="E16" s="11">
        <v>50.0</v>
      </c>
      <c r="F16" s="9">
        <v>0.0</v>
      </c>
      <c r="G16" s="9" t="s">
        <v>58</v>
      </c>
      <c r="H16" s="11">
        <v>2.0</v>
      </c>
      <c r="I16" s="9">
        <v>0.0</v>
      </c>
      <c r="J16" s="9" t="s">
        <v>50</v>
      </c>
      <c r="K16" s="9">
        <v>0.0</v>
      </c>
      <c r="L16" s="9" t="s">
        <v>47</v>
      </c>
      <c r="M16" s="11">
        <v>6.0</v>
      </c>
      <c r="N16" s="11">
        <v>7.0</v>
      </c>
      <c r="O16" s="9">
        <v>1.0</v>
      </c>
      <c r="P16" s="9" t="s">
        <v>48</v>
      </c>
      <c r="Q16" s="9">
        <v>1.0</v>
      </c>
      <c r="R16" s="9" t="s">
        <v>48</v>
      </c>
      <c r="S16" s="9">
        <v>1.0</v>
      </c>
      <c r="T16" s="9" t="s">
        <v>48</v>
      </c>
      <c r="U16" s="11">
        <v>5.0</v>
      </c>
    </row>
    <row r="17">
      <c r="A17" s="8">
        <v>16.0</v>
      </c>
      <c r="B17" s="9">
        <v>1.0</v>
      </c>
      <c r="C17" s="9" t="s">
        <v>44</v>
      </c>
      <c r="D17" s="26">
        <v>173.0</v>
      </c>
      <c r="E17" s="11">
        <v>69.0</v>
      </c>
      <c r="F17" s="9">
        <v>0.0</v>
      </c>
      <c r="G17" s="9" t="s">
        <v>58</v>
      </c>
      <c r="H17" s="11">
        <v>2.0</v>
      </c>
      <c r="I17" s="9">
        <v>0.0</v>
      </c>
      <c r="J17" s="9" t="s">
        <v>50</v>
      </c>
      <c r="K17" s="9">
        <v>1.0</v>
      </c>
      <c r="L17" s="9" t="s">
        <v>51</v>
      </c>
      <c r="M17" s="11">
        <v>7.5</v>
      </c>
      <c r="N17" s="11">
        <v>7.4</v>
      </c>
      <c r="O17" s="9">
        <v>1.0</v>
      </c>
      <c r="P17" s="9" t="s">
        <v>48</v>
      </c>
      <c r="Q17" s="9">
        <v>1.0</v>
      </c>
      <c r="R17" s="9" t="s">
        <v>48</v>
      </c>
      <c r="S17" s="9">
        <v>1.0</v>
      </c>
      <c r="T17" s="9" t="s">
        <v>48</v>
      </c>
      <c r="U17" s="11">
        <v>35.0</v>
      </c>
    </row>
    <row r="18">
      <c r="A18" s="8">
        <v>17.0</v>
      </c>
      <c r="B18" s="9">
        <v>0.0</v>
      </c>
      <c r="C18" s="9" t="s">
        <v>54</v>
      </c>
      <c r="D18" s="26">
        <v>160.0</v>
      </c>
      <c r="E18" s="11">
        <v>50.0</v>
      </c>
      <c r="F18" s="9">
        <v>1.0</v>
      </c>
      <c r="G18" s="9" t="s">
        <v>45</v>
      </c>
      <c r="H18" s="11">
        <v>2.0</v>
      </c>
      <c r="I18" s="9">
        <v>0.0</v>
      </c>
      <c r="J18" s="9" t="s">
        <v>50</v>
      </c>
      <c r="K18" s="9">
        <v>0.0</v>
      </c>
      <c r="L18" s="9" t="s">
        <v>47</v>
      </c>
      <c r="M18" s="11">
        <v>6.0</v>
      </c>
      <c r="N18" s="11">
        <v>6.0</v>
      </c>
      <c r="O18" s="9">
        <v>0.0</v>
      </c>
      <c r="P18" s="9" t="s">
        <v>53</v>
      </c>
      <c r="Q18" s="9">
        <v>1.0</v>
      </c>
      <c r="R18" s="9" t="s">
        <v>48</v>
      </c>
      <c r="S18" s="9">
        <v>1.0</v>
      </c>
      <c r="T18" s="9" t="s">
        <v>48</v>
      </c>
      <c r="U18" s="11">
        <v>1.0</v>
      </c>
    </row>
    <row r="19">
      <c r="A19" s="8">
        <v>18.0</v>
      </c>
      <c r="B19" s="9">
        <v>1.0</v>
      </c>
      <c r="C19" s="9" t="s">
        <v>44</v>
      </c>
      <c r="D19" s="26">
        <v>184.0</v>
      </c>
      <c r="E19" s="11">
        <v>68.0</v>
      </c>
      <c r="F19" s="9">
        <v>3.0</v>
      </c>
      <c r="G19" s="9" t="s">
        <v>49</v>
      </c>
      <c r="H19" s="11">
        <v>2.0</v>
      </c>
      <c r="I19" s="9">
        <v>0.0</v>
      </c>
      <c r="J19" s="9" t="s">
        <v>50</v>
      </c>
      <c r="K19" s="9">
        <v>0.0</v>
      </c>
      <c r="L19" s="9" t="s">
        <v>47</v>
      </c>
      <c r="M19" s="11">
        <v>6.2</v>
      </c>
      <c r="N19" s="11">
        <v>8.0</v>
      </c>
      <c r="O19" s="9">
        <v>1.0</v>
      </c>
      <c r="P19" s="9" t="s">
        <v>48</v>
      </c>
      <c r="Q19" s="9">
        <v>1.0</v>
      </c>
      <c r="R19" s="9" t="s">
        <v>48</v>
      </c>
      <c r="S19" s="9">
        <v>1.0</v>
      </c>
      <c r="T19" s="9" t="s">
        <v>48</v>
      </c>
      <c r="U19" s="11">
        <v>4.0</v>
      </c>
    </row>
    <row r="20">
      <c r="A20" s="8">
        <v>19.0</v>
      </c>
      <c r="B20" s="9">
        <v>0.0</v>
      </c>
      <c r="C20" s="9" t="s">
        <v>54</v>
      </c>
      <c r="D20" s="26">
        <v>162.0</v>
      </c>
      <c r="E20" s="11">
        <v>57.0</v>
      </c>
      <c r="F20" s="9">
        <v>1.0</v>
      </c>
      <c r="G20" s="9" t="s">
        <v>45</v>
      </c>
      <c r="H20" s="11">
        <v>3.0</v>
      </c>
      <c r="I20" s="9">
        <v>0.0</v>
      </c>
      <c r="J20" s="9" t="s">
        <v>50</v>
      </c>
      <c r="K20" s="9">
        <v>1.0</v>
      </c>
      <c r="L20" s="9" t="s">
        <v>51</v>
      </c>
      <c r="M20" s="11">
        <v>6.8</v>
      </c>
      <c r="N20" s="11">
        <v>6.5</v>
      </c>
      <c r="O20" s="9">
        <v>1.0</v>
      </c>
      <c r="P20" s="9" t="s">
        <v>48</v>
      </c>
      <c r="Q20" s="9">
        <v>1.0</v>
      </c>
      <c r="R20" s="9" t="s">
        <v>48</v>
      </c>
      <c r="S20" s="9">
        <v>1.0</v>
      </c>
      <c r="T20" s="9" t="s">
        <v>48</v>
      </c>
      <c r="U20" s="11">
        <v>4.0</v>
      </c>
    </row>
    <row r="21" ht="15.75" customHeight="1">
      <c r="A21" s="8">
        <v>20.0</v>
      </c>
      <c r="B21" s="9">
        <v>0.0</v>
      </c>
      <c r="C21" s="9" t="s">
        <v>54</v>
      </c>
      <c r="D21" s="26">
        <v>165.0</v>
      </c>
      <c r="E21" s="11">
        <v>56.0</v>
      </c>
      <c r="F21" s="9">
        <v>2.0</v>
      </c>
      <c r="G21" s="9" t="s">
        <v>55</v>
      </c>
      <c r="H21" s="11">
        <v>3.0</v>
      </c>
      <c r="I21" s="9">
        <v>2.0</v>
      </c>
      <c r="J21" s="9" t="s">
        <v>52</v>
      </c>
      <c r="K21" s="9">
        <v>0.0</v>
      </c>
      <c r="L21" s="9" t="s">
        <v>47</v>
      </c>
      <c r="M21" s="11">
        <v>8.5</v>
      </c>
      <c r="N21" s="11">
        <v>10.5</v>
      </c>
      <c r="O21" s="9">
        <v>1.0</v>
      </c>
      <c r="P21" s="9" t="s">
        <v>48</v>
      </c>
      <c r="Q21" s="9">
        <v>1.0</v>
      </c>
      <c r="R21" s="9" t="s">
        <v>48</v>
      </c>
      <c r="S21" s="9">
        <v>1.0</v>
      </c>
      <c r="T21" s="9" t="s">
        <v>48</v>
      </c>
      <c r="U21" s="11">
        <v>14.0</v>
      </c>
    </row>
    <row r="22" ht="15.75" customHeight="1">
      <c r="A22" s="8">
        <v>21.0</v>
      </c>
      <c r="B22" s="9">
        <v>0.0</v>
      </c>
      <c r="C22" s="9" t="s">
        <v>54</v>
      </c>
      <c r="D22" s="26">
        <v>165.0</v>
      </c>
      <c r="E22" s="11">
        <v>50.0</v>
      </c>
      <c r="F22" s="9">
        <v>1.0</v>
      </c>
      <c r="G22" s="9" t="s">
        <v>45</v>
      </c>
      <c r="H22" s="11">
        <v>3.0</v>
      </c>
      <c r="I22" s="9">
        <v>2.0</v>
      </c>
      <c r="J22" s="9" t="s">
        <v>52</v>
      </c>
      <c r="K22" s="9">
        <v>0.0</v>
      </c>
      <c r="L22" s="9" t="s">
        <v>47</v>
      </c>
      <c r="M22" s="11">
        <v>9.5</v>
      </c>
      <c r="N22" s="11">
        <v>12.1</v>
      </c>
      <c r="O22" s="9">
        <v>1.0</v>
      </c>
      <c r="P22" s="9" t="s">
        <v>48</v>
      </c>
      <c r="Q22" s="9">
        <v>1.0</v>
      </c>
      <c r="R22" s="9" t="s">
        <v>48</v>
      </c>
      <c r="S22" s="9">
        <v>1.0</v>
      </c>
      <c r="T22" s="9" t="s">
        <v>48</v>
      </c>
      <c r="U22" s="11">
        <v>14.0</v>
      </c>
    </row>
    <row r="23" ht="15.75" customHeight="1">
      <c r="A23" s="8">
        <v>22.0</v>
      </c>
      <c r="B23" s="9">
        <v>1.0</v>
      </c>
      <c r="C23" s="9" t="s">
        <v>44</v>
      </c>
      <c r="D23" s="26">
        <v>172.0</v>
      </c>
      <c r="E23" s="11">
        <v>60.0</v>
      </c>
      <c r="F23" s="9">
        <v>2.0</v>
      </c>
      <c r="G23" s="9" t="s">
        <v>55</v>
      </c>
      <c r="H23" s="11"/>
      <c r="I23" s="9">
        <v>2.0</v>
      </c>
      <c r="J23" s="9" t="s">
        <v>52</v>
      </c>
      <c r="K23" s="9">
        <v>1.0</v>
      </c>
      <c r="L23" s="9" t="s">
        <v>51</v>
      </c>
      <c r="M23" s="11">
        <v>7.0</v>
      </c>
      <c r="N23" s="11">
        <v>7.8</v>
      </c>
      <c r="O23" s="9">
        <v>1.0</v>
      </c>
      <c r="P23" s="9" t="s">
        <v>48</v>
      </c>
      <c r="Q23" s="9">
        <v>1.0</v>
      </c>
      <c r="R23" s="9" t="s">
        <v>48</v>
      </c>
      <c r="S23" s="9">
        <v>1.0</v>
      </c>
      <c r="T23" s="9" t="s">
        <v>48</v>
      </c>
      <c r="U23" s="11">
        <v>20.0</v>
      </c>
    </row>
    <row r="24" ht="15.75" customHeight="1">
      <c r="A24" s="8">
        <v>23.0</v>
      </c>
      <c r="B24" s="9">
        <v>0.0</v>
      </c>
      <c r="C24" s="9" t="s">
        <v>54</v>
      </c>
      <c r="D24" s="23">
        <v>173.0</v>
      </c>
      <c r="E24" s="11">
        <v>59.0</v>
      </c>
      <c r="F24" s="9">
        <v>3.0</v>
      </c>
      <c r="G24" s="9" t="s">
        <v>49</v>
      </c>
      <c r="H24" s="11">
        <v>2.0</v>
      </c>
      <c r="I24" s="9">
        <v>0.0</v>
      </c>
      <c r="J24" s="9" t="s">
        <v>50</v>
      </c>
      <c r="K24" s="9">
        <v>0.0</v>
      </c>
      <c r="L24" s="9" t="s">
        <v>47</v>
      </c>
      <c r="M24" s="11">
        <v>9.2</v>
      </c>
      <c r="N24" s="11">
        <v>10.5</v>
      </c>
      <c r="O24" s="9">
        <v>1.0</v>
      </c>
      <c r="P24" s="9" t="s">
        <v>48</v>
      </c>
      <c r="Q24" s="9">
        <v>1.0</v>
      </c>
      <c r="R24" s="9" t="s">
        <v>48</v>
      </c>
      <c r="S24" s="9">
        <v>1.0</v>
      </c>
      <c r="T24" s="9" t="s">
        <v>48</v>
      </c>
      <c r="U24" s="11">
        <v>6.0</v>
      </c>
    </row>
    <row r="25" ht="15.75" customHeight="1">
      <c r="A25" s="8">
        <v>24.0</v>
      </c>
      <c r="B25" s="9">
        <v>0.0</v>
      </c>
      <c r="C25" s="9" t="s">
        <v>54</v>
      </c>
      <c r="D25" s="26">
        <v>167.0</v>
      </c>
      <c r="E25" s="11">
        <v>61.0</v>
      </c>
      <c r="F25" s="9">
        <v>2.0</v>
      </c>
      <c r="G25" s="9" t="s">
        <v>55</v>
      </c>
      <c r="H25" s="11">
        <v>3.0</v>
      </c>
      <c r="I25" s="9">
        <v>0.0</v>
      </c>
      <c r="J25" s="9" t="s">
        <v>50</v>
      </c>
      <c r="K25" s="9">
        <v>1.0</v>
      </c>
      <c r="L25" s="9" t="s">
        <v>51</v>
      </c>
      <c r="M25" s="11">
        <v>6.6</v>
      </c>
      <c r="N25" s="11">
        <v>8.2</v>
      </c>
      <c r="O25" s="9">
        <v>1.0</v>
      </c>
      <c r="P25" s="9" t="s">
        <v>48</v>
      </c>
      <c r="Q25" s="9">
        <v>1.0</v>
      </c>
      <c r="R25" s="9" t="s">
        <v>48</v>
      </c>
      <c r="S25" s="9">
        <v>1.0</v>
      </c>
      <c r="T25" s="9" t="s">
        <v>48</v>
      </c>
      <c r="U25" s="11">
        <v>14.0</v>
      </c>
    </row>
    <row r="26" ht="15.75" customHeight="1">
      <c r="A26" s="8">
        <v>25.0</v>
      </c>
      <c r="B26" s="9">
        <v>1.0</v>
      </c>
      <c r="C26" s="9" t="s">
        <v>44</v>
      </c>
      <c r="D26" s="23">
        <v>174.0</v>
      </c>
      <c r="E26" s="11">
        <v>59.8</v>
      </c>
      <c r="F26" s="9">
        <v>2.0</v>
      </c>
      <c r="G26" s="9" t="s">
        <v>55</v>
      </c>
      <c r="H26" s="11">
        <v>2.0</v>
      </c>
      <c r="I26" s="9">
        <v>0.0</v>
      </c>
      <c r="J26" s="9" t="s">
        <v>50</v>
      </c>
      <c r="K26" s="8"/>
      <c r="L26" s="8"/>
      <c r="M26" s="11">
        <v>7.56</v>
      </c>
      <c r="N26" s="11">
        <v>9.72</v>
      </c>
      <c r="O26" s="9">
        <v>1.0</v>
      </c>
      <c r="P26" s="9" t="s">
        <v>48</v>
      </c>
      <c r="Q26" s="9">
        <v>1.0</v>
      </c>
      <c r="R26" s="9" t="s">
        <v>48</v>
      </c>
      <c r="S26" s="9">
        <v>1.0</v>
      </c>
      <c r="T26" s="9" t="s">
        <v>48</v>
      </c>
      <c r="U26" s="11">
        <v>2.6</v>
      </c>
    </row>
    <row r="27" ht="15.75" customHeight="1">
      <c r="A27" s="8">
        <v>26.0</v>
      </c>
      <c r="B27" s="9">
        <v>1.0</v>
      </c>
      <c r="C27" s="9" t="s">
        <v>44</v>
      </c>
      <c r="D27" s="26">
        <v>173.0</v>
      </c>
      <c r="E27" s="11">
        <v>73.0</v>
      </c>
      <c r="F27" s="9">
        <v>3.0</v>
      </c>
      <c r="G27" s="9" t="s">
        <v>49</v>
      </c>
      <c r="H27" s="11"/>
      <c r="I27" s="9">
        <v>0.0</v>
      </c>
      <c r="J27" s="9" t="s">
        <v>50</v>
      </c>
      <c r="K27" s="9">
        <v>1.0</v>
      </c>
      <c r="L27" s="9" t="s">
        <v>51</v>
      </c>
      <c r="M27" s="11">
        <v>6.5</v>
      </c>
      <c r="N27" s="11">
        <v>6.375</v>
      </c>
      <c r="O27" s="9">
        <v>1.0</v>
      </c>
      <c r="P27" s="9" t="s">
        <v>48</v>
      </c>
      <c r="Q27" s="9">
        <v>1.0</v>
      </c>
      <c r="R27" s="9" t="s">
        <v>48</v>
      </c>
      <c r="S27" s="9">
        <v>1.0</v>
      </c>
      <c r="T27" s="9" t="s">
        <v>48</v>
      </c>
      <c r="U27" s="11">
        <v>25.0</v>
      </c>
    </row>
    <row r="28" ht="15.75" customHeight="1">
      <c r="A28" s="8">
        <v>27.0</v>
      </c>
      <c r="B28" s="9">
        <v>1.0</v>
      </c>
      <c r="C28" s="9" t="s">
        <v>44</v>
      </c>
      <c r="D28" s="26">
        <v>171.0</v>
      </c>
      <c r="E28" s="11">
        <v>66.0</v>
      </c>
      <c r="F28" s="9">
        <v>2.0</v>
      </c>
      <c r="G28" s="9" t="s">
        <v>55</v>
      </c>
      <c r="H28" s="11">
        <v>2.0</v>
      </c>
      <c r="I28" s="9">
        <v>1.0</v>
      </c>
      <c r="J28" s="9" t="s">
        <v>57</v>
      </c>
      <c r="K28" s="9">
        <v>0.0</v>
      </c>
      <c r="L28" s="9" t="s">
        <v>47</v>
      </c>
      <c r="M28" s="11">
        <v>6.7</v>
      </c>
      <c r="N28" s="11">
        <v>8.73</v>
      </c>
      <c r="O28" s="9">
        <v>1.0</v>
      </c>
      <c r="P28" s="9" t="s">
        <v>48</v>
      </c>
      <c r="Q28" s="9">
        <v>1.0</v>
      </c>
      <c r="R28" s="9" t="s">
        <v>48</v>
      </c>
      <c r="S28" s="9">
        <v>1.0</v>
      </c>
      <c r="T28" s="9" t="s">
        <v>48</v>
      </c>
      <c r="U28" s="11">
        <v>15.0</v>
      </c>
    </row>
    <row r="29" ht="15.75" customHeight="1">
      <c r="A29" s="8">
        <v>28.0</v>
      </c>
      <c r="B29" s="9">
        <v>1.0</v>
      </c>
      <c r="C29" s="9" t="s">
        <v>44</v>
      </c>
      <c r="D29" s="26">
        <v>177.0</v>
      </c>
      <c r="E29" s="11">
        <v>65.0</v>
      </c>
      <c r="F29" s="9">
        <v>2.0</v>
      </c>
      <c r="G29" s="9" t="s">
        <v>55</v>
      </c>
      <c r="H29" s="11">
        <v>2.0</v>
      </c>
      <c r="I29" s="9">
        <v>0.0</v>
      </c>
      <c r="J29" s="9" t="s">
        <v>50</v>
      </c>
      <c r="K29" s="9">
        <v>1.0</v>
      </c>
      <c r="L29" s="9" t="s">
        <v>51</v>
      </c>
      <c r="M29" s="11">
        <v>6.0</v>
      </c>
      <c r="N29" s="11">
        <v>8.0</v>
      </c>
      <c r="O29" s="9">
        <v>1.0</v>
      </c>
      <c r="P29" s="9" t="s">
        <v>48</v>
      </c>
      <c r="Q29" s="9">
        <v>1.0</v>
      </c>
      <c r="R29" s="9" t="s">
        <v>48</v>
      </c>
      <c r="S29" s="9">
        <v>1.0</v>
      </c>
      <c r="T29" s="9" t="s">
        <v>48</v>
      </c>
      <c r="U29" s="11">
        <v>5.0</v>
      </c>
    </row>
    <row r="30" ht="15.75" customHeight="1">
      <c r="A30" s="8">
        <v>29.0</v>
      </c>
      <c r="B30" s="9">
        <v>0.0</v>
      </c>
      <c r="C30" s="9" t="s">
        <v>54</v>
      </c>
      <c r="D30" s="26">
        <v>170.0</v>
      </c>
      <c r="E30" s="11">
        <v>59.0</v>
      </c>
      <c r="F30" s="9">
        <v>2.0</v>
      </c>
      <c r="G30" s="9" t="s">
        <v>55</v>
      </c>
      <c r="H30" s="11">
        <v>2.0</v>
      </c>
      <c r="I30" s="9">
        <v>0.0</v>
      </c>
      <c r="J30" s="9" t="s">
        <v>50</v>
      </c>
      <c r="K30" s="9">
        <v>1.0</v>
      </c>
      <c r="L30" s="9" t="s">
        <v>51</v>
      </c>
      <c r="M30" s="11">
        <v>7.0</v>
      </c>
      <c r="N30" s="11">
        <v>8.235</v>
      </c>
      <c r="O30" s="9">
        <v>0.0</v>
      </c>
      <c r="P30" s="9" t="s">
        <v>53</v>
      </c>
      <c r="Q30" s="9">
        <v>1.0</v>
      </c>
      <c r="R30" s="9" t="s">
        <v>48</v>
      </c>
      <c r="S30" s="9">
        <v>1.0</v>
      </c>
      <c r="T30" s="9" t="s">
        <v>48</v>
      </c>
      <c r="U30" s="11">
        <v>3.0</v>
      </c>
    </row>
    <row r="31" ht="15.75" customHeight="1">
      <c r="A31" s="8">
        <v>30.0</v>
      </c>
      <c r="B31" s="9">
        <v>0.0</v>
      </c>
      <c r="C31" s="9" t="s">
        <v>54</v>
      </c>
      <c r="D31" s="26">
        <v>163.5</v>
      </c>
      <c r="E31" s="11">
        <v>42.5</v>
      </c>
      <c r="F31" s="9">
        <v>4.0</v>
      </c>
      <c r="G31" s="9" t="s">
        <v>56</v>
      </c>
      <c r="H31" s="11">
        <v>1.0</v>
      </c>
      <c r="I31" s="9">
        <v>2.0</v>
      </c>
      <c r="J31" s="9" t="s">
        <v>52</v>
      </c>
      <c r="K31" s="9">
        <v>0.0</v>
      </c>
      <c r="L31" s="9" t="s">
        <v>47</v>
      </c>
      <c r="M31" s="11">
        <v>9.9</v>
      </c>
      <c r="N31" s="11">
        <v>12.5</v>
      </c>
      <c r="O31" s="9">
        <v>1.0</v>
      </c>
      <c r="P31" s="9" t="s">
        <v>48</v>
      </c>
      <c r="Q31" s="9">
        <v>1.0</v>
      </c>
      <c r="R31" s="9" t="s">
        <v>48</v>
      </c>
      <c r="S31" s="9">
        <v>1.0</v>
      </c>
      <c r="T31" s="9" t="s">
        <v>48</v>
      </c>
      <c r="U31" s="11">
        <v>8.0</v>
      </c>
    </row>
    <row r="32" ht="15.75" customHeight="1">
      <c r="A32" s="8">
        <v>31.0</v>
      </c>
      <c r="B32" s="9">
        <v>0.0</v>
      </c>
      <c r="C32" s="9" t="s">
        <v>54</v>
      </c>
      <c r="D32" s="26">
        <v>150.0</v>
      </c>
      <c r="E32" s="11">
        <v>45.0</v>
      </c>
      <c r="F32" s="9">
        <v>1.0</v>
      </c>
      <c r="G32" s="9" t="s">
        <v>45</v>
      </c>
      <c r="H32" s="11">
        <v>2.0</v>
      </c>
      <c r="I32" s="9">
        <v>0.0</v>
      </c>
      <c r="J32" s="9" t="s">
        <v>50</v>
      </c>
      <c r="K32" s="9">
        <v>0.0</v>
      </c>
      <c r="L32" s="9" t="s">
        <v>47</v>
      </c>
      <c r="M32" s="11">
        <v>6.5</v>
      </c>
      <c r="N32" s="11">
        <v>7.5</v>
      </c>
      <c r="O32" s="9">
        <v>1.0</v>
      </c>
      <c r="P32" s="9" t="s">
        <v>48</v>
      </c>
      <c r="Q32" s="9">
        <v>1.0</v>
      </c>
      <c r="R32" s="9" t="s">
        <v>48</v>
      </c>
      <c r="S32" s="9">
        <v>1.0</v>
      </c>
      <c r="T32" s="9" t="s">
        <v>48</v>
      </c>
      <c r="U32" s="11">
        <v>21.0</v>
      </c>
    </row>
    <row r="33" ht="15.75" customHeight="1">
      <c r="A33" s="8">
        <v>32.0</v>
      </c>
      <c r="B33" s="9">
        <v>1.0</v>
      </c>
      <c r="C33" s="9" t="s">
        <v>44</v>
      </c>
      <c r="D33" s="26">
        <v>175.0</v>
      </c>
      <c r="E33" s="11">
        <v>65.0</v>
      </c>
      <c r="F33" s="9">
        <v>3.0</v>
      </c>
      <c r="G33" s="9" t="s">
        <v>49</v>
      </c>
      <c r="H33" s="11">
        <v>2.0</v>
      </c>
      <c r="I33" s="9">
        <v>0.0</v>
      </c>
      <c r="J33" s="9" t="s">
        <v>50</v>
      </c>
      <c r="K33" s="9">
        <v>0.0</v>
      </c>
      <c r="L33" s="9" t="s">
        <v>47</v>
      </c>
      <c r="M33" s="11">
        <v>7.0</v>
      </c>
      <c r="N33" s="11">
        <v>9.0</v>
      </c>
      <c r="O33" s="9">
        <v>1.0</v>
      </c>
      <c r="P33" s="9" t="s">
        <v>48</v>
      </c>
      <c r="Q33" s="9">
        <v>1.0</v>
      </c>
      <c r="R33" s="9" t="s">
        <v>48</v>
      </c>
      <c r="S33" s="9">
        <v>1.0</v>
      </c>
      <c r="T33" s="9" t="s">
        <v>48</v>
      </c>
      <c r="U33" s="11">
        <v>30.0</v>
      </c>
    </row>
    <row r="34" ht="15.75" customHeight="1">
      <c r="A34" s="8">
        <v>33.0</v>
      </c>
      <c r="B34" s="9">
        <v>1.0</v>
      </c>
      <c r="C34" s="9" t="s">
        <v>44</v>
      </c>
      <c r="D34" s="26">
        <v>180.0</v>
      </c>
      <c r="E34" s="11">
        <v>70.0</v>
      </c>
      <c r="F34" s="9">
        <v>1.0</v>
      </c>
      <c r="G34" s="9" t="s">
        <v>45</v>
      </c>
      <c r="H34" s="11">
        <v>2.0</v>
      </c>
      <c r="I34" s="9">
        <v>1.0</v>
      </c>
      <c r="J34" s="9" t="s">
        <v>57</v>
      </c>
      <c r="K34" s="9">
        <v>0.0</v>
      </c>
      <c r="L34" s="9" t="s">
        <v>47</v>
      </c>
      <c r="M34" s="11">
        <v>7.0</v>
      </c>
      <c r="N34" s="11">
        <v>7.0</v>
      </c>
      <c r="O34" s="9">
        <v>1.0</v>
      </c>
      <c r="P34" s="9" t="s">
        <v>48</v>
      </c>
      <c r="Q34" s="9">
        <v>1.0</v>
      </c>
      <c r="R34" s="9" t="s">
        <v>48</v>
      </c>
      <c r="S34" s="9">
        <v>1.0</v>
      </c>
      <c r="T34" s="9" t="s">
        <v>48</v>
      </c>
      <c r="U34" s="11">
        <v>3.0</v>
      </c>
    </row>
    <row r="35" ht="15.75" customHeight="1">
      <c r="A35" s="8">
        <v>34.0</v>
      </c>
      <c r="B35" s="9">
        <v>1.0</v>
      </c>
      <c r="C35" s="9" t="s">
        <v>44</v>
      </c>
      <c r="D35" s="26">
        <v>185.0</v>
      </c>
      <c r="E35" s="24"/>
      <c r="F35" s="27"/>
      <c r="G35" s="27"/>
      <c r="H35" s="24"/>
      <c r="I35" s="27"/>
      <c r="J35" s="27"/>
      <c r="K35" s="27"/>
      <c r="L35" s="27"/>
      <c r="M35" s="24"/>
      <c r="N35" s="24"/>
      <c r="O35" s="27"/>
      <c r="P35" s="27"/>
      <c r="Q35" s="27"/>
      <c r="R35" s="27"/>
      <c r="S35" s="27"/>
      <c r="T35" s="27"/>
      <c r="U35" s="24"/>
    </row>
    <row r="36" ht="15.75" customHeight="1">
      <c r="A36" s="8">
        <v>35.0</v>
      </c>
      <c r="B36" s="9">
        <v>1.0</v>
      </c>
      <c r="C36" s="9" t="s">
        <v>44</v>
      </c>
      <c r="D36" s="26">
        <v>172.0</v>
      </c>
      <c r="E36" s="11">
        <v>67.0</v>
      </c>
      <c r="F36" s="9">
        <v>2.0</v>
      </c>
      <c r="G36" s="9" t="s">
        <v>55</v>
      </c>
      <c r="H36" s="11">
        <v>2.0</v>
      </c>
      <c r="I36" s="9">
        <v>0.0</v>
      </c>
      <c r="J36" s="9" t="s">
        <v>50</v>
      </c>
      <c r="K36" s="9">
        <v>1.0</v>
      </c>
      <c r="L36" s="9" t="s">
        <v>51</v>
      </c>
      <c r="M36" s="11">
        <v>5.5</v>
      </c>
      <c r="N36" s="11">
        <v>5.2</v>
      </c>
      <c r="O36" s="9">
        <v>1.0</v>
      </c>
      <c r="P36" s="9" t="s">
        <v>48</v>
      </c>
      <c r="Q36" s="9">
        <v>1.0</v>
      </c>
      <c r="R36" s="9" t="s">
        <v>48</v>
      </c>
      <c r="S36" s="9">
        <v>1.0</v>
      </c>
      <c r="T36" s="9" t="s">
        <v>48</v>
      </c>
      <c r="U36" s="11">
        <v>15.0</v>
      </c>
    </row>
    <row r="37" ht="15.75" customHeight="1">
      <c r="A37" s="8">
        <v>36.0</v>
      </c>
      <c r="B37" s="9">
        <v>0.0</v>
      </c>
      <c r="C37" s="9" t="s">
        <v>54</v>
      </c>
      <c r="D37" s="26">
        <v>185.0</v>
      </c>
      <c r="E37" s="11">
        <v>85.0</v>
      </c>
      <c r="F37" s="9">
        <v>2.0</v>
      </c>
      <c r="G37" s="9" t="s">
        <v>55</v>
      </c>
      <c r="H37" s="11">
        <v>2.0</v>
      </c>
      <c r="I37" s="9">
        <v>2.0</v>
      </c>
      <c r="J37" s="9" t="s">
        <v>52</v>
      </c>
      <c r="K37" s="9">
        <v>0.0</v>
      </c>
      <c r="L37" s="9" t="s">
        <v>47</v>
      </c>
      <c r="M37" s="11">
        <v>8.4</v>
      </c>
      <c r="N37" s="11">
        <v>8.9</v>
      </c>
      <c r="O37" s="9">
        <v>1.0</v>
      </c>
      <c r="P37" s="9" t="s">
        <v>48</v>
      </c>
      <c r="Q37" s="9">
        <v>1.0</v>
      </c>
      <c r="R37" s="9" t="s">
        <v>48</v>
      </c>
      <c r="S37" s="9">
        <v>1.0</v>
      </c>
      <c r="T37" s="9" t="s">
        <v>48</v>
      </c>
      <c r="U37" s="11">
        <v>5.0</v>
      </c>
    </row>
    <row r="38" ht="15.75" customHeight="1">
      <c r="A38" s="8">
        <v>37.0</v>
      </c>
      <c r="B38" s="9">
        <v>0.0</v>
      </c>
      <c r="C38" s="9" t="s">
        <v>54</v>
      </c>
      <c r="D38" s="26">
        <v>167.0</v>
      </c>
      <c r="E38" s="11">
        <v>48.0</v>
      </c>
      <c r="F38" s="9">
        <v>1.0</v>
      </c>
      <c r="G38" s="9" t="s">
        <v>45</v>
      </c>
      <c r="H38" s="11">
        <v>2.0</v>
      </c>
      <c r="I38" s="9">
        <v>0.0</v>
      </c>
      <c r="J38" s="9" t="s">
        <v>50</v>
      </c>
      <c r="K38" s="9">
        <v>0.0</v>
      </c>
      <c r="L38" s="9" t="s">
        <v>47</v>
      </c>
      <c r="M38" s="11">
        <v>6.21</v>
      </c>
      <c r="N38" s="11">
        <v>8.1</v>
      </c>
      <c r="O38" s="9">
        <v>1.0</v>
      </c>
      <c r="P38" s="9" t="s">
        <v>48</v>
      </c>
      <c r="Q38" s="9">
        <v>1.0</v>
      </c>
      <c r="R38" s="9" t="s">
        <v>48</v>
      </c>
      <c r="S38" s="9">
        <v>1.0</v>
      </c>
      <c r="T38" s="9" t="s">
        <v>48</v>
      </c>
      <c r="U38" s="11">
        <v>10.0</v>
      </c>
    </row>
    <row r="39" ht="15.75" customHeight="1">
      <c r="A39" s="8">
        <v>38.0</v>
      </c>
      <c r="B39" s="9">
        <v>0.0</v>
      </c>
      <c r="C39" s="9" t="s">
        <v>54</v>
      </c>
      <c r="D39" s="26">
        <v>165.0</v>
      </c>
      <c r="E39" s="11">
        <v>57.0</v>
      </c>
      <c r="F39" s="9">
        <v>1.0</v>
      </c>
      <c r="G39" s="9" t="s">
        <v>45</v>
      </c>
      <c r="H39" s="11">
        <v>3.0</v>
      </c>
      <c r="I39" s="9">
        <v>0.0</v>
      </c>
      <c r="J39" s="9" t="s">
        <v>50</v>
      </c>
      <c r="K39" s="9">
        <v>0.0</v>
      </c>
      <c r="L39" s="9" t="s">
        <v>47</v>
      </c>
      <c r="M39" s="11">
        <v>5.6</v>
      </c>
      <c r="N39" s="11">
        <v>7.9</v>
      </c>
      <c r="O39" s="9">
        <v>1.0</v>
      </c>
      <c r="P39" s="9" t="s">
        <v>48</v>
      </c>
      <c r="Q39" s="9">
        <v>1.0</v>
      </c>
      <c r="R39" s="9" t="s">
        <v>48</v>
      </c>
      <c r="S39" s="9">
        <v>1.0</v>
      </c>
      <c r="T39" s="9" t="s">
        <v>48</v>
      </c>
      <c r="U39" s="11">
        <v>10.0</v>
      </c>
    </row>
    <row r="40" ht="15.75" customHeight="1">
      <c r="A40" s="8">
        <v>39.0</v>
      </c>
      <c r="B40" s="9">
        <v>0.0</v>
      </c>
      <c r="C40" s="9" t="s">
        <v>54</v>
      </c>
      <c r="D40" s="26">
        <v>165.0</v>
      </c>
      <c r="E40" s="11">
        <v>58.0</v>
      </c>
      <c r="F40" s="9">
        <v>2.0</v>
      </c>
      <c r="G40" s="9" t="s">
        <v>55</v>
      </c>
      <c r="H40" s="11">
        <v>3.0</v>
      </c>
      <c r="I40" s="9">
        <v>0.0</v>
      </c>
      <c r="J40" s="9" t="s">
        <v>50</v>
      </c>
      <c r="K40" s="9">
        <v>0.0</v>
      </c>
      <c r="L40" s="9" t="s">
        <v>47</v>
      </c>
      <c r="M40" s="11">
        <v>6.1</v>
      </c>
      <c r="N40" s="11">
        <v>6.69</v>
      </c>
      <c r="O40" s="9">
        <v>1.0</v>
      </c>
      <c r="P40" s="9" t="s">
        <v>48</v>
      </c>
      <c r="Q40" s="9">
        <v>1.0</v>
      </c>
      <c r="R40" s="9" t="s">
        <v>48</v>
      </c>
      <c r="S40" s="9">
        <v>1.0</v>
      </c>
      <c r="T40" s="9" t="s">
        <v>48</v>
      </c>
      <c r="U40" s="11">
        <v>10.0</v>
      </c>
    </row>
    <row r="41" ht="15.75" customHeight="1">
      <c r="A41" s="8">
        <v>40.0</v>
      </c>
      <c r="B41" s="9">
        <v>0.0</v>
      </c>
      <c r="C41" s="9" t="s">
        <v>54</v>
      </c>
      <c r="D41" s="26">
        <v>163.0</v>
      </c>
      <c r="E41" s="11">
        <v>58.0</v>
      </c>
      <c r="F41" s="9">
        <v>2.0</v>
      </c>
      <c r="G41" s="9" t="s">
        <v>55</v>
      </c>
      <c r="H41" s="11">
        <v>3.0</v>
      </c>
      <c r="I41" s="9">
        <v>0.0</v>
      </c>
      <c r="J41" s="9" t="s">
        <v>50</v>
      </c>
      <c r="K41" s="9">
        <v>0.0</v>
      </c>
      <c r="L41" s="9" t="s">
        <v>47</v>
      </c>
      <c r="M41" s="11">
        <v>7.8</v>
      </c>
      <c r="N41" s="11">
        <v>10.9</v>
      </c>
      <c r="O41" s="9">
        <v>1.0</v>
      </c>
      <c r="P41" s="9" t="s">
        <v>48</v>
      </c>
      <c r="Q41" s="9">
        <v>1.0</v>
      </c>
      <c r="R41" s="9" t="s">
        <v>48</v>
      </c>
      <c r="S41" s="9">
        <v>1.0</v>
      </c>
      <c r="T41" s="9" t="s">
        <v>48</v>
      </c>
      <c r="U41" s="11">
        <v>15.0</v>
      </c>
    </row>
    <row r="42" ht="15.75" customHeight="1">
      <c r="A42" s="8">
        <v>41.0</v>
      </c>
      <c r="B42" s="9">
        <v>1.0</v>
      </c>
      <c r="C42" s="9" t="s">
        <v>44</v>
      </c>
      <c r="D42" s="26">
        <v>183.0</v>
      </c>
      <c r="E42" s="11">
        <v>78.0</v>
      </c>
      <c r="F42" s="9">
        <v>4.0</v>
      </c>
      <c r="G42" s="9" t="s">
        <v>56</v>
      </c>
      <c r="H42" s="11">
        <v>1.0</v>
      </c>
      <c r="I42" s="9">
        <v>0.0</v>
      </c>
      <c r="J42" s="9" t="s">
        <v>50</v>
      </c>
      <c r="K42" s="9">
        <v>1.0</v>
      </c>
      <c r="L42" s="9" t="s">
        <v>51</v>
      </c>
      <c r="M42" s="11">
        <v>7.1</v>
      </c>
      <c r="N42" s="11">
        <v>9.2</v>
      </c>
      <c r="O42" s="9">
        <v>1.0</v>
      </c>
      <c r="P42" s="9" t="s">
        <v>48</v>
      </c>
      <c r="Q42" s="9">
        <v>1.0</v>
      </c>
      <c r="R42" s="9" t="s">
        <v>48</v>
      </c>
      <c r="S42" s="9">
        <v>1.0</v>
      </c>
      <c r="T42" s="9" t="s">
        <v>48</v>
      </c>
      <c r="U42" s="11">
        <v>35.0</v>
      </c>
    </row>
    <row r="43" ht="15.75" customHeight="1">
      <c r="A43" s="8">
        <v>42.0</v>
      </c>
      <c r="B43" s="9">
        <v>0.0</v>
      </c>
      <c r="C43" s="9" t="s">
        <v>54</v>
      </c>
      <c r="D43" s="26">
        <v>165.0</v>
      </c>
      <c r="E43" s="11">
        <v>50.0</v>
      </c>
      <c r="F43" s="9">
        <v>2.0</v>
      </c>
      <c r="G43" s="9" t="s">
        <v>55</v>
      </c>
      <c r="H43" s="11">
        <v>5.0</v>
      </c>
      <c r="I43" s="9">
        <v>0.0</v>
      </c>
      <c r="J43" s="9" t="s">
        <v>50</v>
      </c>
      <c r="K43" s="9">
        <v>0.0</v>
      </c>
      <c r="L43" s="9" t="s">
        <v>47</v>
      </c>
      <c r="M43" s="11">
        <v>6.01</v>
      </c>
      <c r="N43" s="11">
        <v>5.3</v>
      </c>
      <c r="O43" s="9">
        <v>1.0</v>
      </c>
      <c r="P43" s="9" t="s">
        <v>48</v>
      </c>
      <c r="Q43" s="9">
        <v>1.0</v>
      </c>
      <c r="R43" s="9" t="s">
        <v>48</v>
      </c>
      <c r="S43" s="9">
        <v>1.0</v>
      </c>
      <c r="T43" s="9" t="s">
        <v>48</v>
      </c>
      <c r="U43" s="11">
        <v>20.0</v>
      </c>
    </row>
    <row r="44" ht="15.75" customHeight="1">
      <c r="A44" s="8">
        <v>43.0</v>
      </c>
      <c r="B44" s="9">
        <v>1.0</v>
      </c>
      <c r="C44" s="9" t="s">
        <v>44</v>
      </c>
      <c r="D44" s="26">
        <v>180.0</v>
      </c>
      <c r="E44" s="11">
        <v>71.0</v>
      </c>
      <c r="F44" s="9">
        <v>4.0</v>
      </c>
      <c r="G44" s="9" t="s">
        <v>56</v>
      </c>
      <c r="H44" s="11">
        <v>2.0</v>
      </c>
      <c r="I44" s="9">
        <v>0.0</v>
      </c>
      <c r="J44" s="9" t="s">
        <v>50</v>
      </c>
      <c r="K44" s="9">
        <v>0.0</v>
      </c>
      <c r="L44" s="9" t="s">
        <v>47</v>
      </c>
      <c r="M44" s="11">
        <v>5.6</v>
      </c>
      <c r="N44" s="11">
        <v>6.5</v>
      </c>
      <c r="O44" s="9">
        <v>1.0</v>
      </c>
      <c r="P44" s="9" t="s">
        <v>48</v>
      </c>
      <c r="Q44" s="9">
        <v>1.0</v>
      </c>
      <c r="R44" s="9" t="s">
        <v>48</v>
      </c>
      <c r="S44" s="9">
        <v>1.0</v>
      </c>
      <c r="T44" s="9" t="s">
        <v>48</v>
      </c>
      <c r="U44" s="11">
        <v>14.0</v>
      </c>
    </row>
    <row r="45" ht="15.75" customHeight="1">
      <c r="A45" s="8">
        <v>44.0</v>
      </c>
      <c r="B45" s="9">
        <v>1.0</v>
      </c>
      <c r="C45" s="9" t="s">
        <v>44</v>
      </c>
      <c r="D45" s="26">
        <v>171.0</v>
      </c>
      <c r="E45" s="11">
        <v>70.0</v>
      </c>
      <c r="F45" s="9">
        <v>3.0</v>
      </c>
      <c r="G45" s="9" t="s">
        <v>49</v>
      </c>
      <c r="H45" s="11">
        <v>1.0</v>
      </c>
      <c r="I45" s="9">
        <v>2.0</v>
      </c>
      <c r="J45" s="9" t="s">
        <v>52</v>
      </c>
      <c r="K45" s="9">
        <v>0.0</v>
      </c>
      <c r="L45" s="9" t="s">
        <v>47</v>
      </c>
      <c r="M45" s="11">
        <v>6.8</v>
      </c>
      <c r="N45" s="11">
        <v>9.2</v>
      </c>
      <c r="O45" s="9">
        <v>1.0</v>
      </c>
      <c r="P45" s="9" t="s">
        <v>48</v>
      </c>
      <c r="Q45" s="9">
        <v>1.0</v>
      </c>
      <c r="R45" s="9" t="s">
        <v>48</v>
      </c>
      <c r="S45" s="9">
        <v>1.0</v>
      </c>
      <c r="T45" s="9" t="s">
        <v>48</v>
      </c>
      <c r="U45" s="11">
        <v>10.0</v>
      </c>
    </row>
    <row r="46" ht="15.75" customHeight="1">
      <c r="A46" s="8">
        <v>45.0</v>
      </c>
      <c r="B46" s="9">
        <v>0.0</v>
      </c>
      <c r="C46" s="9" t="s">
        <v>54</v>
      </c>
      <c r="D46" s="26">
        <v>165.0</v>
      </c>
      <c r="E46" s="11">
        <v>60.0</v>
      </c>
      <c r="F46" s="9">
        <v>1.0</v>
      </c>
      <c r="G46" s="9" t="s">
        <v>45</v>
      </c>
      <c r="H46" s="11">
        <v>2.0</v>
      </c>
      <c r="I46" s="9">
        <v>3.0</v>
      </c>
      <c r="J46" s="9" t="s">
        <v>46</v>
      </c>
      <c r="K46" s="9">
        <v>1.0</v>
      </c>
      <c r="L46" s="9" t="s">
        <v>51</v>
      </c>
      <c r="M46" s="11">
        <v>5.6</v>
      </c>
      <c r="N46" s="11">
        <v>6.8</v>
      </c>
      <c r="O46" s="9">
        <v>1.0</v>
      </c>
      <c r="P46" s="9" t="s">
        <v>48</v>
      </c>
      <c r="Q46" s="9">
        <v>1.0</v>
      </c>
      <c r="R46" s="9" t="s">
        <v>48</v>
      </c>
      <c r="S46" s="9">
        <v>1.0</v>
      </c>
      <c r="T46" s="9" t="s">
        <v>48</v>
      </c>
      <c r="U46" s="11">
        <v>5.0</v>
      </c>
    </row>
    <row r="47" ht="15.75" customHeight="1">
      <c r="A47" s="8">
        <v>46.0</v>
      </c>
      <c r="B47" s="9">
        <v>1.0</v>
      </c>
      <c r="C47" s="9" t="s">
        <v>44</v>
      </c>
      <c r="D47" s="26">
        <v>186.0</v>
      </c>
      <c r="E47" s="11">
        <v>71.0</v>
      </c>
      <c r="F47" s="9">
        <v>3.0</v>
      </c>
      <c r="G47" s="9" t="s">
        <v>49</v>
      </c>
      <c r="H47" s="11"/>
      <c r="I47" s="9">
        <v>0.0</v>
      </c>
      <c r="J47" s="9" t="s">
        <v>50</v>
      </c>
      <c r="K47" s="9">
        <v>1.0</v>
      </c>
      <c r="L47" s="9" t="s">
        <v>51</v>
      </c>
      <c r="M47" s="11">
        <v>7.0</v>
      </c>
      <c r="N47" s="11">
        <v>6.0</v>
      </c>
      <c r="O47" s="9">
        <v>1.0</v>
      </c>
      <c r="P47" s="9" t="s">
        <v>48</v>
      </c>
      <c r="Q47" s="9">
        <v>1.0</v>
      </c>
      <c r="R47" s="9" t="s">
        <v>48</v>
      </c>
      <c r="S47" s="9">
        <v>1.0</v>
      </c>
      <c r="T47" s="9" t="s">
        <v>48</v>
      </c>
      <c r="U47" s="11">
        <v>6.0</v>
      </c>
    </row>
    <row r="48" ht="15.75" customHeight="1">
      <c r="A48" s="8">
        <v>47.0</v>
      </c>
      <c r="B48" s="9">
        <v>1.0</v>
      </c>
      <c r="C48" s="9" t="s">
        <v>44</v>
      </c>
      <c r="D48" s="23">
        <v>187.0</v>
      </c>
      <c r="E48" s="11">
        <v>82.0</v>
      </c>
      <c r="F48" s="9">
        <v>4.0</v>
      </c>
      <c r="G48" s="9" t="s">
        <v>56</v>
      </c>
      <c r="H48" s="11">
        <v>3.0</v>
      </c>
      <c r="I48" s="9">
        <v>0.0</v>
      </c>
      <c r="J48" s="9" t="s">
        <v>50</v>
      </c>
      <c r="K48" s="9">
        <v>0.0</v>
      </c>
      <c r="L48" s="9" t="s">
        <v>47</v>
      </c>
      <c r="M48" s="11">
        <v>5.9</v>
      </c>
      <c r="N48" s="24"/>
      <c r="O48" s="9">
        <v>1.0</v>
      </c>
      <c r="P48" s="9" t="s">
        <v>48</v>
      </c>
      <c r="Q48" s="9">
        <v>1.0</v>
      </c>
      <c r="R48" s="9" t="s">
        <v>48</v>
      </c>
      <c r="S48" s="9">
        <v>1.0</v>
      </c>
      <c r="T48" s="9" t="s">
        <v>48</v>
      </c>
      <c r="U48" s="11">
        <v>2.0</v>
      </c>
    </row>
    <row r="49" ht="15.75" customHeight="1">
      <c r="A49" s="8">
        <v>48.0</v>
      </c>
      <c r="B49" s="9">
        <v>1.0</v>
      </c>
      <c r="C49" s="9" t="s">
        <v>44</v>
      </c>
      <c r="D49" s="23">
        <v>175.0</v>
      </c>
      <c r="E49" s="11">
        <v>70.0</v>
      </c>
      <c r="F49" s="9">
        <v>3.0</v>
      </c>
      <c r="G49" s="9" t="s">
        <v>49</v>
      </c>
      <c r="H49" s="11">
        <v>6.0</v>
      </c>
      <c r="I49" s="9">
        <v>0.0</v>
      </c>
      <c r="J49" s="9" t="s">
        <v>50</v>
      </c>
      <c r="K49" s="9">
        <v>1.0</v>
      </c>
      <c r="L49" s="9" t="s">
        <v>51</v>
      </c>
      <c r="M49" s="11">
        <v>5.0</v>
      </c>
      <c r="N49" s="11">
        <v>7.0</v>
      </c>
      <c r="O49" s="9">
        <v>1.0</v>
      </c>
      <c r="P49" s="9" t="s">
        <v>48</v>
      </c>
      <c r="Q49" s="9">
        <v>1.0</v>
      </c>
      <c r="R49" s="9" t="s">
        <v>48</v>
      </c>
      <c r="S49" s="9">
        <v>1.0</v>
      </c>
      <c r="T49" s="9" t="s">
        <v>48</v>
      </c>
      <c r="U49" s="11">
        <v>70.0</v>
      </c>
    </row>
    <row r="50" ht="15.75" customHeight="1">
      <c r="A50" s="8">
        <v>49.0</v>
      </c>
      <c r="B50" s="9">
        <v>1.0</v>
      </c>
      <c r="C50" s="9" t="s">
        <v>44</v>
      </c>
      <c r="D50" s="23">
        <v>180.0</v>
      </c>
      <c r="E50" s="11">
        <v>71.0</v>
      </c>
      <c r="F50" s="9">
        <v>2.0</v>
      </c>
      <c r="G50" s="9" t="s">
        <v>55</v>
      </c>
      <c r="H50" s="11">
        <v>2.0</v>
      </c>
      <c r="I50" s="9">
        <v>3.0</v>
      </c>
      <c r="J50" s="9" t="s">
        <v>46</v>
      </c>
      <c r="K50" s="9">
        <v>0.0</v>
      </c>
      <c r="L50" s="9" t="s">
        <v>47</v>
      </c>
      <c r="M50" s="11">
        <v>8.0</v>
      </c>
      <c r="N50" s="11">
        <v>9.0</v>
      </c>
      <c r="O50" s="9">
        <v>1.0</v>
      </c>
      <c r="P50" s="9" t="s">
        <v>48</v>
      </c>
      <c r="Q50" s="9">
        <v>1.0</v>
      </c>
      <c r="R50" s="9" t="s">
        <v>48</v>
      </c>
      <c r="S50" s="9">
        <v>1.0</v>
      </c>
      <c r="T50" s="9" t="s">
        <v>48</v>
      </c>
      <c r="U50" s="11">
        <v>10.0</v>
      </c>
    </row>
    <row r="51" ht="15.75" customHeight="1">
      <c r="A51" s="8">
        <v>50.0</v>
      </c>
      <c r="B51" s="9">
        <v>1.0</v>
      </c>
      <c r="C51" s="9" t="s">
        <v>44</v>
      </c>
      <c r="D51" s="23">
        <v>180.0</v>
      </c>
      <c r="E51" s="11">
        <v>70.0</v>
      </c>
      <c r="F51" s="9">
        <v>3.0</v>
      </c>
      <c r="G51" s="9" t="s">
        <v>49</v>
      </c>
      <c r="H51" s="11">
        <v>2.0</v>
      </c>
      <c r="I51" s="9">
        <v>0.0</v>
      </c>
      <c r="J51" s="9" t="s">
        <v>50</v>
      </c>
      <c r="K51" s="9">
        <v>0.0</v>
      </c>
      <c r="L51" s="9" t="s">
        <v>47</v>
      </c>
      <c r="M51" s="11">
        <v>6.2</v>
      </c>
      <c r="N51" s="11">
        <v>8.1</v>
      </c>
      <c r="O51" s="9">
        <v>1.0</v>
      </c>
      <c r="P51" s="9" t="s">
        <v>48</v>
      </c>
      <c r="Q51" s="9">
        <v>1.0</v>
      </c>
      <c r="R51" s="9" t="s">
        <v>48</v>
      </c>
      <c r="S51" s="9">
        <v>1.0</v>
      </c>
      <c r="T51" s="9" t="s">
        <v>48</v>
      </c>
      <c r="U51" s="11">
        <v>3.0</v>
      </c>
    </row>
    <row r="52" ht="15.75" customHeight="1">
      <c r="A52" s="8">
        <v>51.0</v>
      </c>
      <c r="B52" s="9">
        <v>1.0</v>
      </c>
      <c r="C52" s="9" t="s">
        <v>44</v>
      </c>
      <c r="D52" s="26">
        <v>168.0</v>
      </c>
      <c r="E52" s="11">
        <v>65.0</v>
      </c>
      <c r="F52" s="9">
        <v>3.0</v>
      </c>
      <c r="G52" s="9" t="s">
        <v>49</v>
      </c>
      <c r="H52" s="11">
        <v>2.0</v>
      </c>
      <c r="I52" s="9">
        <v>0.0</v>
      </c>
      <c r="J52" s="9" t="s">
        <v>50</v>
      </c>
      <c r="K52" s="9">
        <v>1.0</v>
      </c>
      <c r="L52" s="9" t="s">
        <v>51</v>
      </c>
      <c r="M52" s="11">
        <v>5.3</v>
      </c>
      <c r="N52" s="11">
        <v>7.2</v>
      </c>
      <c r="O52" s="9">
        <v>1.0</v>
      </c>
      <c r="P52" s="9" t="s">
        <v>48</v>
      </c>
      <c r="Q52" s="9">
        <v>1.0</v>
      </c>
      <c r="R52" s="9" t="s">
        <v>48</v>
      </c>
      <c r="S52" s="9">
        <v>1.0</v>
      </c>
      <c r="T52" s="9" t="s">
        <v>48</v>
      </c>
      <c r="U52" s="11">
        <v>7.0</v>
      </c>
    </row>
    <row r="53" ht="15.75" customHeight="1">
      <c r="A53" s="8">
        <v>52.0</v>
      </c>
      <c r="B53" s="9">
        <v>1.0</v>
      </c>
      <c r="C53" s="9" t="s">
        <v>44</v>
      </c>
      <c r="D53" s="26">
        <v>190.0</v>
      </c>
      <c r="E53" s="11">
        <v>75.0</v>
      </c>
      <c r="F53" s="9">
        <v>2.0</v>
      </c>
      <c r="G53" s="9" t="s">
        <v>55</v>
      </c>
      <c r="H53" s="11">
        <v>3.0</v>
      </c>
      <c r="I53" s="9">
        <v>3.0</v>
      </c>
      <c r="J53" s="9" t="s">
        <v>46</v>
      </c>
      <c r="K53" s="9">
        <v>0.0</v>
      </c>
      <c r="L53" s="9" t="s">
        <v>47</v>
      </c>
      <c r="M53" s="11">
        <v>6.72</v>
      </c>
      <c r="N53" s="11">
        <v>7.43</v>
      </c>
      <c r="O53" s="9">
        <v>1.0</v>
      </c>
      <c r="P53" s="9" t="s">
        <v>48</v>
      </c>
      <c r="Q53" s="9">
        <v>1.0</v>
      </c>
      <c r="R53" s="9" t="s">
        <v>48</v>
      </c>
      <c r="S53" s="9">
        <v>1.0</v>
      </c>
      <c r="T53" s="9" t="s">
        <v>48</v>
      </c>
      <c r="U53" s="11">
        <v>30.0</v>
      </c>
    </row>
    <row r="54" ht="15.75" customHeight="1">
      <c r="A54" s="8">
        <v>53.0</v>
      </c>
      <c r="B54" s="9">
        <v>0.0</v>
      </c>
      <c r="C54" s="9" t="s">
        <v>54</v>
      </c>
      <c r="D54" s="26">
        <v>187.0</v>
      </c>
      <c r="E54" s="11">
        <v>70.0</v>
      </c>
      <c r="F54" s="9">
        <v>2.0</v>
      </c>
      <c r="G54" s="9" t="s">
        <v>55</v>
      </c>
      <c r="H54" s="11">
        <v>2.0</v>
      </c>
      <c r="I54" s="9">
        <v>2.0</v>
      </c>
      <c r="J54" s="9" t="s">
        <v>52</v>
      </c>
      <c r="K54" s="9">
        <v>0.0</v>
      </c>
      <c r="L54" s="9" t="s">
        <v>47</v>
      </c>
      <c r="M54" s="11">
        <v>6.0</v>
      </c>
      <c r="N54" s="11">
        <v>10.0</v>
      </c>
      <c r="O54" s="9">
        <v>1.0</v>
      </c>
      <c r="P54" s="9" t="s">
        <v>48</v>
      </c>
      <c r="Q54" s="9">
        <v>1.0</v>
      </c>
      <c r="R54" s="9" t="s">
        <v>48</v>
      </c>
      <c r="S54" s="9">
        <v>1.0</v>
      </c>
      <c r="T54" s="9" t="s">
        <v>48</v>
      </c>
      <c r="U54" s="11">
        <v>1.0</v>
      </c>
    </row>
    <row r="55" ht="15.75" customHeight="1">
      <c r="A55" s="8">
        <v>54.0</v>
      </c>
      <c r="B55" s="9">
        <v>1.0</v>
      </c>
      <c r="C55" s="9" t="s">
        <v>44</v>
      </c>
      <c r="D55" s="26">
        <v>169.0</v>
      </c>
      <c r="E55" s="11">
        <v>72.0</v>
      </c>
      <c r="F55" s="9">
        <v>2.0</v>
      </c>
      <c r="G55" s="9" t="s">
        <v>55</v>
      </c>
      <c r="H55" s="11">
        <v>1.0</v>
      </c>
      <c r="I55" s="9">
        <v>3.0</v>
      </c>
      <c r="J55" s="9" t="s">
        <v>46</v>
      </c>
      <c r="K55" s="9">
        <v>1.0</v>
      </c>
      <c r="L55" s="9" t="s">
        <v>51</v>
      </c>
      <c r="M55" s="11">
        <v>6.7</v>
      </c>
      <c r="N55" s="11">
        <v>8.5</v>
      </c>
      <c r="O55" s="9">
        <v>1.0</v>
      </c>
      <c r="P55" s="9" t="s">
        <v>48</v>
      </c>
      <c r="Q55" s="9">
        <v>1.0</v>
      </c>
      <c r="R55" s="9" t="s">
        <v>48</v>
      </c>
      <c r="S55" s="9">
        <v>1.0</v>
      </c>
      <c r="T55" s="9" t="s">
        <v>48</v>
      </c>
      <c r="U55" s="11">
        <v>10.0</v>
      </c>
    </row>
    <row r="56" ht="15.75" customHeight="1">
      <c r="A56" s="8">
        <v>55.0</v>
      </c>
      <c r="B56" s="9">
        <v>1.0</v>
      </c>
      <c r="C56" s="9" t="s">
        <v>44</v>
      </c>
      <c r="D56" s="26">
        <v>175.0</v>
      </c>
      <c r="E56" s="11">
        <v>73.0</v>
      </c>
      <c r="F56" s="9">
        <v>3.0</v>
      </c>
      <c r="G56" s="9" t="s">
        <v>49</v>
      </c>
      <c r="H56" s="11">
        <v>2.0</v>
      </c>
      <c r="I56" s="9">
        <v>3.0</v>
      </c>
      <c r="J56" s="9" t="s">
        <v>46</v>
      </c>
      <c r="K56" s="9">
        <v>0.0</v>
      </c>
      <c r="L56" s="9" t="s">
        <v>47</v>
      </c>
      <c r="M56" s="11">
        <v>7.0</v>
      </c>
      <c r="N56" s="11">
        <v>9.8</v>
      </c>
      <c r="O56" s="9">
        <v>1.0</v>
      </c>
      <c r="P56" s="9" t="s">
        <v>48</v>
      </c>
      <c r="Q56" s="9">
        <v>1.0</v>
      </c>
      <c r="R56" s="9" t="s">
        <v>48</v>
      </c>
      <c r="S56" s="9">
        <v>1.0</v>
      </c>
      <c r="T56" s="9" t="s">
        <v>48</v>
      </c>
      <c r="U56" s="11">
        <v>3.0</v>
      </c>
    </row>
    <row r="57" ht="15.75" customHeight="1">
      <c r="A57" s="8">
        <v>56.0</v>
      </c>
      <c r="B57" s="9">
        <v>1.0</v>
      </c>
      <c r="C57" s="9" t="s">
        <v>44</v>
      </c>
      <c r="D57" s="26">
        <v>165.0</v>
      </c>
      <c r="E57" s="11">
        <v>75.0</v>
      </c>
      <c r="F57" s="9">
        <v>1.0</v>
      </c>
      <c r="G57" s="9" t="s">
        <v>45</v>
      </c>
      <c r="H57" s="11">
        <v>3.0</v>
      </c>
      <c r="I57" s="9">
        <v>0.0</v>
      </c>
      <c r="J57" s="9" t="s">
        <v>50</v>
      </c>
      <c r="K57" s="9">
        <v>0.0</v>
      </c>
      <c r="L57" s="9" t="s">
        <v>47</v>
      </c>
      <c r="M57" s="24"/>
      <c r="N57" s="24"/>
      <c r="O57" s="9">
        <v>1.0</v>
      </c>
      <c r="P57" s="9" t="s">
        <v>48</v>
      </c>
      <c r="Q57" s="9">
        <v>1.0</v>
      </c>
      <c r="R57" s="9" t="s">
        <v>48</v>
      </c>
      <c r="S57" s="9">
        <v>0.0</v>
      </c>
      <c r="T57" s="9" t="s">
        <v>53</v>
      </c>
      <c r="U57" s="11">
        <v>0.0</v>
      </c>
    </row>
    <row r="58" ht="15.75" customHeight="1">
      <c r="A58" s="8">
        <v>57.0</v>
      </c>
      <c r="B58" s="9">
        <v>1.0</v>
      </c>
      <c r="C58" s="9" t="s">
        <v>44</v>
      </c>
      <c r="D58" s="26">
        <v>176.0</v>
      </c>
      <c r="E58" s="11">
        <v>90.0</v>
      </c>
      <c r="F58" s="9">
        <v>2.0</v>
      </c>
      <c r="G58" s="9" t="s">
        <v>55</v>
      </c>
      <c r="H58" s="11">
        <v>2.0</v>
      </c>
      <c r="I58" s="9">
        <v>1.0</v>
      </c>
      <c r="J58" s="9" t="s">
        <v>57</v>
      </c>
      <c r="K58" s="9">
        <v>0.0</v>
      </c>
      <c r="L58" s="9" t="s">
        <v>47</v>
      </c>
      <c r="M58" s="11">
        <v>6.2</v>
      </c>
      <c r="N58" s="11">
        <v>7.4</v>
      </c>
      <c r="O58" s="9">
        <v>1.0</v>
      </c>
      <c r="P58" s="9" t="s">
        <v>48</v>
      </c>
      <c r="Q58" s="9">
        <v>1.0</v>
      </c>
      <c r="R58" s="9" t="s">
        <v>48</v>
      </c>
      <c r="S58" s="9">
        <v>1.0</v>
      </c>
      <c r="T58" s="9" t="s">
        <v>48</v>
      </c>
      <c r="U58" s="11">
        <v>15.0</v>
      </c>
    </row>
    <row r="59" ht="15.75" customHeight="1">
      <c r="A59" s="8">
        <v>58.0</v>
      </c>
      <c r="B59" s="9">
        <v>1.0</v>
      </c>
      <c r="C59" s="9" t="s">
        <v>44</v>
      </c>
      <c r="D59" s="26">
        <v>178.0</v>
      </c>
      <c r="E59" s="11">
        <v>67.5</v>
      </c>
      <c r="F59" s="9">
        <v>2.0</v>
      </c>
      <c r="G59" s="9" t="s">
        <v>55</v>
      </c>
      <c r="H59" s="11">
        <v>2.0</v>
      </c>
      <c r="I59" s="9">
        <v>1.0</v>
      </c>
      <c r="J59" s="9" t="s">
        <v>57</v>
      </c>
      <c r="K59" s="9">
        <v>0.0</v>
      </c>
      <c r="L59" s="9" t="s">
        <v>47</v>
      </c>
      <c r="M59" s="11">
        <v>5.7</v>
      </c>
      <c r="N59" s="11">
        <v>6.3</v>
      </c>
      <c r="O59" s="9">
        <v>1.0</v>
      </c>
      <c r="P59" s="9" t="s">
        <v>48</v>
      </c>
      <c r="Q59" s="9">
        <v>1.0</v>
      </c>
      <c r="R59" s="9" t="s">
        <v>48</v>
      </c>
      <c r="S59" s="9">
        <v>1.0</v>
      </c>
      <c r="T59" s="9" t="s">
        <v>48</v>
      </c>
      <c r="U59" s="11">
        <v>3.0</v>
      </c>
    </row>
    <row r="60" ht="15.75" customHeight="1">
      <c r="A60" s="8">
        <v>59.0</v>
      </c>
      <c r="B60" s="9">
        <v>1.0</v>
      </c>
      <c r="C60" s="9" t="s">
        <v>44</v>
      </c>
      <c r="D60" s="26">
        <v>165.0</v>
      </c>
      <c r="E60" s="11">
        <v>70.0</v>
      </c>
      <c r="F60" s="9">
        <v>1.0</v>
      </c>
      <c r="G60" s="9" t="s">
        <v>45</v>
      </c>
      <c r="H60" s="11">
        <v>3.0</v>
      </c>
      <c r="I60" s="9">
        <v>0.0</v>
      </c>
      <c r="J60" s="9" t="s">
        <v>50</v>
      </c>
      <c r="K60" s="9">
        <v>0.0</v>
      </c>
      <c r="L60" s="9" t="s">
        <v>47</v>
      </c>
      <c r="M60" s="11">
        <v>7.7</v>
      </c>
      <c r="N60" s="11">
        <v>9.1</v>
      </c>
      <c r="O60" s="9">
        <v>1.0</v>
      </c>
      <c r="P60" s="9" t="s">
        <v>48</v>
      </c>
      <c r="Q60" s="9">
        <v>0.0</v>
      </c>
      <c r="R60" s="9" t="s">
        <v>53</v>
      </c>
      <c r="S60" s="9">
        <v>1.0</v>
      </c>
      <c r="T60" s="9" t="s">
        <v>48</v>
      </c>
      <c r="U60" s="11">
        <v>5.0</v>
      </c>
    </row>
    <row r="61" ht="15.75" customHeight="1">
      <c r="A61" s="8">
        <v>60.0</v>
      </c>
      <c r="B61" s="9">
        <v>1.0</v>
      </c>
      <c r="C61" s="9" t="s">
        <v>44</v>
      </c>
      <c r="D61" s="26">
        <v>174.0</v>
      </c>
      <c r="E61" s="11">
        <v>70.0</v>
      </c>
      <c r="F61" s="9">
        <v>1.0</v>
      </c>
      <c r="G61" s="9" t="s">
        <v>45</v>
      </c>
      <c r="H61" s="11"/>
      <c r="I61" s="9">
        <v>0.0</v>
      </c>
      <c r="J61" s="9" t="s">
        <v>50</v>
      </c>
      <c r="K61" s="9">
        <v>1.0</v>
      </c>
      <c r="L61" s="9" t="s">
        <v>51</v>
      </c>
      <c r="M61" s="11">
        <v>8.5</v>
      </c>
      <c r="N61" s="11">
        <v>11.1</v>
      </c>
      <c r="O61" s="9">
        <v>1.0</v>
      </c>
      <c r="P61" s="9" t="s">
        <v>48</v>
      </c>
      <c r="Q61" s="9">
        <v>1.0</v>
      </c>
      <c r="R61" s="9" t="s">
        <v>48</v>
      </c>
      <c r="S61" s="9">
        <v>1.0</v>
      </c>
      <c r="T61" s="9" t="s">
        <v>48</v>
      </c>
      <c r="U61" s="11">
        <v>1.0</v>
      </c>
    </row>
    <row r="62" ht="15.75" customHeight="1">
      <c r="A62" s="8">
        <v>61.0</v>
      </c>
      <c r="B62" s="9">
        <v>0.0</v>
      </c>
      <c r="C62" s="9" t="s">
        <v>54</v>
      </c>
      <c r="D62" s="26">
        <v>175.0</v>
      </c>
      <c r="E62" s="11">
        <v>70.0</v>
      </c>
      <c r="F62" s="9">
        <v>1.0</v>
      </c>
      <c r="G62" s="9" t="s">
        <v>45</v>
      </c>
      <c r="H62" s="11">
        <v>2.0</v>
      </c>
      <c r="I62" s="9">
        <v>3.0</v>
      </c>
      <c r="J62" s="9" t="s">
        <v>46</v>
      </c>
      <c r="K62" s="9">
        <v>0.0</v>
      </c>
      <c r="L62" s="9" t="s">
        <v>47</v>
      </c>
      <c r="M62" s="11">
        <v>9.3</v>
      </c>
      <c r="N62" s="11">
        <v>8.9</v>
      </c>
      <c r="O62" s="9">
        <v>1.0</v>
      </c>
      <c r="P62" s="9" t="s">
        <v>48</v>
      </c>
      <c r="Q62" s="9">
        <v>1.0</v>
      </c>
      <c r="R62" s="9" t="s">
        <v>48</v>
      </c>
      <c r="S62" s="9">
        <v>1.0</v>
      </c>
      <c r="T62" s="9" t="s">
        <v>48</v>
      </c>
      <c r="U62" s="11">
        <v>7.0</v>
      </c>
    </row>
    <row r="63" ht="15.75" customHeight="1">
      <c r="A63" s="8">
        <v>62.0</v>
      </c>
      <c r="B63" s="27"/>
      <c r="C63" s="27"/>
      <c r="D63" s="26">
        <v>166.0</v>
      </c>
      <c r="E63" s="24"/>
      <c r="F63" s="27"/>
      <c r="G63" s="27"/>
      <c r="H63" s="24"/>
      <c r="I63" s="27"/>
      <c r="J63" s="27"/>
      <c r="K63" s="27"/>
      <c r="L63" s="27"/>
      <c r="M63" s="24"/>
      <c r="N63" s="24"/>
      <c r="O63" s="27"/>
      <c r="P63" s="27"/>
      <c r="Q63" s="27"/>
      <c r="R63" s="27"/>
      <c r="S63" s="27"/>
      <c r="T63" s="27"/>
      <c r="U63" s="24"/>
    </row>
    <row r="64" ht="15.75" customHeight="1">
      <c r="A64" s="8">
        <v>63.0</v>
      </c>
      <c r="B64" s="9">
        <v>0.0</v>
      </c>
      <c r="C64" s="9" t="s">
        <v>54</v>
      </c>
      <c r="D64" s="23">
        <v>158.0</v>
      </c>
      <c r="E64" s="11">
        <v>45.0</v>
      </c>
      <c r="F64" s="9">
        <v>1.0</v>
      </c>
      <c r="G64" s="9" t="s">
        <v>45</v>
      </c>
      <c r="H64" s="11">
        <v>1.0</v>
      </c>
      <c r="I64" s="9">
        <v>2.0</v>
      </c>
      <c r="J64" s="9" t="s">
        <v>52</v>
      </c>
      <c r="K64" s="9">
        <v>0.0</v>
      </c>
      <c r="L64" s="9" t="s">
        <v>47</v>
      </c>
      <c r="M64" s="11">
        <v>8.63</v>
      </c>
      <c r="N64" s="11">
        <v>12.4</v>
      </c>
      <c r="O64" s="9">
        <v>1.0</v>
      </c>
      <c r="P64" s="9" t="s">
        <v>48</v>
      </c>
      <c r="Q64" s="9">
        <v>1.0</v>
      </c>
      <c r="R64" s="9" t="s">
        <v>48</v>
      </c>
      <c r="S64" s="9">
        <v>1.0</v>
      </c>
      <c r="T64" s="9" t="s">
        <v>48</v>
      </c>
      <c r="U64" s="11">
        <v>2.0</v>
      </c>
    </row>
    <row r="65" ht="15.75" customHeight="1">
      <c r="A65" s="8">
        <v>64.0</v>
      </c>
      <c r="B65" s="9">
        <v>1.0</v>
      </c>
      <c r="C65" s="9" t="s">
        <v>44</v>
      </c>
      <c r="D65" s="23">
        <v>175.0</v>
      </c>
      <c r="E65" s="11">
        <v>80.0</v>
      </c>
      <c r="F65" s="9">
        <v>2.0</v>
      </c>
      <c r="G65" s="9" t="s">
        <v>55</v>
      </c>
      <c r="H65" s="11">
        <v>4.0</v>
      </c>
      <c r="I65" s="9">
        <v>0.0</v>
      </c>
      <c r="J65" s="9" t="s">
        <v>50</v>
      </c>
      <c r="K65" s="9">
        <v>0.0</v>
      </c>
      <c r="L65" s="9" t="s">
        <v>47</v>
      </c>
      <c r="M65" s="11">
        <v>6.5</v>
      </c>
      <c r="N65" s="11">
        <v>6.5</v>
      </c>
      <c r="O65" s="9">
        <v>1.0</v>
      </c>
      <c r="P65" s="9" t="s">
        <v>48</v>
      </c>
      <c r="Q65" s="9">
        <v>0.0</v>
      </c>
      <c r="R65" s="9" t="s">
        <v>53</v>
      </c>
      <c r="S65" s="9">
        <v>1.0</v>
      </c>
      <c r="T65" s="9" t="s">
        <v>48</v>
      </c>
      <c r="U65" s="11">
        <v>25.0</v>
      </c>
    </row>
    <row r="66" ht="15.75" customHeight="1">
      <c r="A66" s="8">
        <v>65.0</v>
      </c>
      <c r="B66" s="9">
        <v>1.0</v>
      </c>
      <c r="C66" s="9" t="s">
        <v>44</v>
      </c>
      <c r="D66" s="23">
        <v>190.0</v>
      </c>
      <c r="E66" s="11">
        <v>80.0</v>
      </c>
      <c r="F66" s="9">
        <v>2.0</v>
      </c>
      <c r="G66" s="9" t="s">
        <v>55</v>
      </c>
      <c r="H66" s="11">
        <v>2.0</v>
      </c>
      <c r="I66" s="9">
        <v>0.0</v>
      </c>
      <c r="J66" s="9" t="s">
        <v>50</v>
      </c>
      <c r="K66" s="9">
        <v>0.0</v>
      </c>
      <c r="L66" s="9" t="s">
        <v>47</v>
      </c>
      <c r="M66" s="11">
        <v>8.0</v>
      </c>
      <c r="N66" s="11">
        <v>9.0</v>
      </c>
      <c r="O66" s="9">
        <v>1.0</v>
      </c>
      <c r="P66" s="9" t="s">
        <v>48</v>
      </c>
      <c r="Q66" s="9">
        <v>1.0</v>
      </c>
      <c r="R66" s="9" t="s">
        <v>48</v>
      </c>
      <c r="S66" s="9">
        <v>1.0</v>
      </c>
      <c r="T66" s="9" t="s">
        <v>48</v>
      </c>
      <c r="U66" s="11">
        <v>30.0</v>
      </c>
    </row>
    <row r="67" ht="15.75" customHeight="1">
      <c r="A67" s="8">
        <v>66.0</v>
      </c>
      <c r="B67" s="9">
        <v>1.0</v>
      </c>
      <c r="C67" s="9" t="s">
        <v>44</v>
      </c>
      <c r="D67" s="23">
        <v>178.0</v>
      </c>
      <c r="E67" s="11">
        <v>72.0</v>
      </c>
      <c r="F67" s="9">
        <v>3.0</v>
      </c>
      <c r="G67" s="9" t="s">
        <v>49</v>
      </c>
      <c r="H67" s="11">
        <v>2.0</v>
      </c>
      <c r="I67" s="9">
        <v>0.0</v>
      </c>
      <c r="J67" s="9" t="s">
        <v>50</v>
      </c>
      <c r="K67" s="9">
        <v>0.0</v>
      </c>
      <c r="L67" s="9" t="s">
        <v>47</v>
      </c>
      <c r="M67" s="11">
        <v>7.1</v>
      </c>
      <c r="N67" s="11">
        <v>6.6</v>
      </c>
      <c r="O67" s="9">
        <v>1.0</v>
      </c>
      <c r="P67" s="9" t="s">
        <v>48</v>
      </c>
      <c r="Q67" s="9">
        <v>1.0</v>
      </c>
      <c r="R67" s="9" t="s">
        <v>48</v>
      </c>
      <c r="S67" s="9">
        <v>1.0</v>
      </c>
      <c r="T67" s="9" t="s">
        <v>48</v>
      </c>
      <c r="U67" s="11">
        <v>35.0</v>
      </c>
    </row>
    <row r="68" ht="15.75" customHeight="1">
      <c r="A68" s="8">
        <v>67.0</v>
      </c>
      <c r="B68" s="9">
        <v>1.0</v>
      </c>
      <c r="C68" s="9" t="s">
        <v>44</v>
      </c>
      <c r="D68" s="23">
        <v>166.0</v>
      </c>
      <c r="E68" s="11">
        <v>62.0</v>
      </c>
      <c r="F68" s="9">
        <v>4.0</v>
      </c>
      <c r="G68" s="9" t="s">
        <v>56</v>
      </c>
      <c r="H68" s="11"/>
      <c r="I68" s="9">
        <v>2.0</v>
      </c>
      <c r="J68" s="9" t="s">
        <v>52</v>
      </c>
      <c r="K68" s="9">
        <v>0.0</v>
      </c>
      <c r="L68" s="9" t="s">
        <v>47</v>
      </c>
      <c r="M68" s="11">
        <v>9.4</v>
      </c>
      <c r="N68" s="11">
        <v>10.7</v>
      </c>
      <c r="O68" s="9">
        <v>1.0</v>
      </c>
      <c r="P68" s="9" t="s">
        <v>48</v>
      </c>
      <c r="Q68" s="9">
        <v>1.0</v>
      </c>
      <c r="R68" s="9" t="s">
        <v>48</v>
      </c>
      <c r="S68" s="9">
        <v>1.0</v>
      </c>
      <c r="T68" s="9" t="s">
        <v>48</v>
      </c>
      <c r="U68" s="11">
        <v>35.0</v>
      </c>
    </row>
    <row r="69" ht="15.75" customHeight="1">
      <c r="A69" s="8">
        <v>68.0</v>
      </c>
      <c r="B69" s="9">
        <v>1.0</v>
      </c>
      <c r="C69" s="9" t="s">
        <v>44</v>
      </c>
      <c r="D69" s="23">
        <v>180.0</v>
      </c>
      <c r="E69" s="11">
        <v>82.0</v>
      </c>
      <c r="F69" s="9">
        <v>1.0</v>
      </c>
      <c r="G69" s="9" t="s">
        <v>45</v>
      </c>
      <c r="H69" s="11">
        <v>1.0</v>
      </c>
      <c r="I69" s="9">
        <v>0.0</v>
      </c>
      <c r="J69" s="9" t="s">
        <v>50</v>
      </c>
      <c r="K69" s="9">
        <v>0.0</v>
      </c>
      <c r="L69" s="9" t="s">
        <v>47</v>
      </c>
      <c r="M69" s="11">
        <v>7.1</v>
      </c>
      <c r="N69" s="11">
        <v>7.7</v>
      </c>
      <c r="O69" s="9">
        <v>1.0</v>
      </c>
      <c r="P69" s="9" t="s">
        <v>48</v>
      </c>
      <c r="Q69" s="9">
        <v>1.0</v>
      </c>
      <c r="R69" s="9" t="s">
        <v>48</v>
      </c>
      <c r="S69" s="9">
        <v>1.0</v>
      </c>
      <c r="T69" s="9" t="s">
        <v>48</v>
      </c>
      <c r="U69" s="11">
        <v>1.0</v>
      </c>
    </row>
    <row r="70" ht="15.75" customHeight="1">
      <c r="A70" s="8">
        <v>69.0</v>
      </c>
      <c r="B70" s="9">
        <v>1.0</v>
      </c>
      <c r="C70" s="9" t="s">
        <v>44</v>
      </c>
      <c r="D70" s="23">
        <v>189.0</v>
      </c>
      <c r="E70" s="11">
        <v>85.0</v>
      </c>
      <c r="F70" s="9">
        <v>2.0</v>
      </c>
      <c r="G70" s="9" t="s">
        <v>55</v>
      </c>
      <c r="H70" s="11">
        <v>3.0</v>
      </c>
      <c r="I70" s="9">
        <v>0.0</v>
      </c>
      <c r="J70" s="9" t="s">
        <v>50</v>
      </c>
      <c r="K70" s="9">
        <v>1.0</v>
      </c>
      <c r="L70" s="9" t="s">
        <v>51</v>
      </c>
      <c r="M70" s="11">
        <v>7.0</v>
      </c>
      <c r="N70" s="24"/>
      <c r="O70" s="9">
        <v>1.0</v>
      </c>
      <c r="P70" s="9" t="s">
        <v>48</v>
      </c>
      <c r="Q70" s="9">
        <v>1.0</v>
      </c>
      <c r="R70" s="9" t="s">
        <v>48</v>
      </c>
      <c r="S70" s="9">
        <v>1.0</v>
      </c>
      <c r="T70" s="9" t="s">
        <v>48</v>
      </c>
      <c r="U70" s="11">
        <v>15.0</v>
      </c>
    </row>
    <row r="71" ht="15.75" customHeight="1">
      <c r="A71" s="8">
        <v>70.0</v>
      </c>
      <c r="B71" s="9">
        <v>1.0</v>
      </c>
      <c r="C71" s="9" t="s">
        <v>44</v>
      </c>
      <c r="D71" s="23">
        <v>190.0</v>
      </c>
      <c r="E71" s="11">
        <v>75.0</v>
      </c>
      <c r="F71" s="9">
        <v>3.0</v>
      </c>
      <c r="G71" s="9" t="s">
        <v>49</v>
      </c>
      <c r="H71" s="11">
        <v>2.0</v>
      </c>
      <c r="I71" s="27"/>
      <c r="J71" s="27"/>
      <c r="K71" s="9">
        <v>0.0</v>
      </c>
      <c r="L71" s="9" t="s">
        <v>47</v>
      </c>
      <c r="M71" s="11">
        <v>7.0</v>
      </c>
      <c r="N71" s="11">
        <v>9.0</v>
      </c>
      <c r="O71" s="9">
        <v>1.0</v>
      </c>
      <c r="P71" s="9" t="s">
        <v>48</v>
      </c>
      <c r="Q71" s="9">
        <v>1.0</v>
      </c>
      <c r="R71" s="9" t="s">
        <v>48</v>
      </c>
      <c r="S71" s="9">
        <v>1.0</v>
      </c>
      <c r="T71" s="9" t="s">
        <v>48</v>
      </c>
      <c r="U71" s="11">
        <v>14.0</v>
      </c>
    </row>
    <row r="72" ht="15.75" customHeight="1">
      <c r="A72" s="8">
        <v>71.0</v>
      </c>
      <c r="B72" s="9">
        <v>0.0</v>
      </c>
      <c r="C72" s="9" t="s">
        <v>54</v>
      </c>
      <c r="D72" s="23">
        <v>168.0</v>
      </c>
      <c r="E72" s="11">
        <v>61.0</v>
      </c>
      <c r="F72" s="9">
        <v>1.0</v>
      </c>
      <c r="G72" s="9" t="s">
        <v>45</v>
      </c>
      <c r="H72" s="11">
        <v>3.0</v>
      </c>
      <c r="I72" s="9">
        <v>0.0</v>
      </c>
      <c r="J72" s="9" t="s">
        <v>50</v>
      </c>
      <c r="K72" s="9">
        <v>1.0</v>
      </c>
      <c r="L72" s="9" t="s">
        <v>51</v>
      </c>
      <c r="M72" s="11">
        <v>6.0</v>
      </c>
      <c r="N72" s="11">
        <v>6.0</v>
      </c>
      <c r="O72" s="9">
        <v>1.0</v>
      </c>
      <c r="P72" s="9" t="s">
        <v>48</v>
      </c>
      <c r="Q72" s="9">
        <v>1.0</v>
      </c>
      <c r="R72" s="9" t="s">
        <v>48</v>
      </c>
      <c r="S72" s="9">
        <v>1.0</v>
      </c>
      <c r="T72" s="9" t="s">
        <v>48</v>
      </c>
      <c r="U72" s="11">
        <v>0.0</v>
      </c>
    </row>
    <row r="73" ht="15.75" customHeight="1">
      <c r="A73" s="8">
        <v>72.0</v>
      </c>
      <c r="B73" s="9">
        <v>1.0</v>
      </c>
      <c r="C73" s="9" t="s">
        <v>44</v>
      </c>
      <c r="D73" s="23">
        <v>180.0</v>
      </c>
      <c r="E73" s="11">
        <v>85.0</v>
      </c>
      <c r="F73" s="9">
        <v>2.0</v>
      </c>
      <c r="G73" s="9" t="s">
        <v>55</v>
      </c>
      <c r="H73" s="11">
        <v>1.0</v>
      </c>
      <c r="I73" s="9">
        <v>0.0</v>
      </c>
      <c r="J73" s="9" t="s">
        <v>50</v>
      </c>
      <c r="K73" s="9">
        <v>1.0</v>
      </c>
      <c r="L73" s="9" t="s">
        <v>51</v>
      </c>
      <c r="M73" s="11">
        <v>6.5</v>
      </c>
      <c r="N73" s="11">
        <v>5.0</v>
      </c>
      <c r="O73" s="9">
        <v>1.0</v>
      </c>
      <c r="P73" s="9" t="s">
        <v>48</v>
      </c>
      <c r="Q73" s="9">
        <v>1.0</v>
      </c>
      <c r="R73" s="9" t="s">
        <v>48</v>
      </c>
      <c r="S73" s="9">
        <v>1.0</v>
      </c>
      <c r="T73" s="9" t="s">
        <v>48</v>
      </c>
      <c r="U73" s="11">
        <v>20.0</v>
      </c>
    </row>
    <row r="74" ht="15.75" customHeight="1">
      <c r="A74" s="8">
        <v>73.0</v>
      </c>
      <c r="B74" s="9">
        <v>1.0</v>
      </c>
      <c r="C74" s="9" t="s">
        <v>44</v>
      </c>
      <c r="D74" s="23">
        <v>182.0</v>
      </c>
      <c r="E74" s="11">
        <v>80.0</v>
      </c>
      <c r="F74" s="9">
        <v>3.0</v>
      </c>
      <c r="G74" s="9" t="s">
        <v>49</v>
      </c>
      <c r="H74" s="11">
        <v>1.0</v>
      </c>
      <c r="I74" s="9">
        <v>0.0</v>
      </c>
      <c r="J74" s="9" t="s">
        <v>50</v>
      </c>
      <c r="K74" s="9">
        <v>1.0</v>
      </c>
      <c r="L74" s="9" t="s">
        <v>51</v>
      </c>
      <c r="M74" s="11">
        <v>7.0</v>
      </c>
      <c r="N74" s="11">
        <v>7.0</v>
      </c>
      <c r="O74" s="9">
        <v>1.0</v>
      </c>
      <c r="P74" s="9" t="s">
        <v>48</v>
      </c>
      <c r="Q74" s="9">
        <v>1.0</v>
      </c>
      <c r="R74" s="9" t="s">
        <v>48</v>
      </c>
      <c r="S74" s="9">
        <v>1.0</v>
      </c>
      <c r="T74" s="9" t="s">
        <v>48</v>
      </c>
      <c r="U74" s="11">
        <v>70.0</v>
      </c>
    </row>
    <row r="75" ht="15.75" customHeight="1">
      <c r="A75" s="8">
        <v>74.0</v>
      </c>
      <c r="B75" s="9">
        <v>1.0</v>
      </c>
      <c r="C75" s="9" t="s">
        <v>44</v>
      </c>
      <c r="D75" s="23">
        <v>180.0</v>
      </c>
      <c r="E75" s="11">
        <v>85.0</v>
      </c>
      <c r="F75" s="9">
        <v>4.0</v>
      </c>
      <c r="G75" s="9" t="s">
        <v>56</v>
      </c>
      <c r="H75" s="11">
        <v>3.0</v>
      </c>
      <c r="I75" s="9">
        <v>0.0</v>
      </c>
      <c r="J75" s="9" t="s">
        <v>50</v>
      </c>
      <c r="K75" s="9">
        <v>0.0</v>
      </c>
      <c r="L75" s="9" t="s">
        <v>47</v>
      </c>
      <c r="M75" s="11">
        <v>7.8</v>
      </c>
      <c r="N75" s="24"/>
      <c r="O75" s="9">
        <v>1.0</v>
      </c>
      <c r="P75" s="9" t="s">
        <v>48</v>
      </c>
      <c r="Q75" s="9">
        <v>1.0</v>
      </c>
      <c r="R75" s="9" t="s">
        <v>48</v>
      </c>
      <c r="S75" s="9">
        <v>0.0</v>
      </c>
      <c r="T75" s="9" t="s">
        <v>53</v>
      </c>
      <c r="U75" s="11">
        <v>0.0</v>
      </c>
    </row>
    <row r="76" ht="15.75" customHeight="1">
      <c r="A76" s="8">
        <v>75.0</v>
      </c>
      <c r="B76" s="9">
        <v>1.0</v>
      </c>
      <c r="C76" s="9" t="s">
        <v>44</v>
      </c>
      <c r="D76" s="23">
        <v>175.0</v>
      </c>
      <c r="E76" s="11">
        <v>62.0</v>
      </c>
      <c r="F76" s="9">
        <v>3.0</v>
      </c>
      <c r="G76" s="9" t="s">
        <v>49</v>
      </c>
      <c r="H76" s="11">
        <v>2.0</v>
      </c>
      <c r="I76" s="9">
        <v>2.0</v>
      </c>
      <c r="J76" s="9" t="s">
        <v>52</v>
      </c>
      <c r="K76" s="9">
        <v>0.0</v>
      </c>
      <c r="L76" s="9" t="s">
        <v>47</v>
      </c>
      <c r="M76" s="11">
        <v>7.0</v>
      </c>
      <c r="N76" s="11">
        <v>9.1</v>
      </c>
      <c r="O76" s="9">
        <v>1.0</v>
      </c>
      <c r="P76" s="9" t="s">
        <v>48</v>
      </c>
      <c r="Q76" s="9">
        <v>1.0</v>
      </c>
      <c r="R76" s="9" t="s">
        <v>48</v>
      </c>
      <c r="S76" s="9">
        <v>1.0</v>
      </c>
      <c r="T76" s="9" t="s">
        <v>48</v>
      </c>
      <c r="U76" s="11">
        <v>60.0</v>
      </c>
    </row>
    <row r="77" ht="15.75" customHeight="1">
      <c r="A77" s="8">
        <v>76.0</v>
      </c>
      <c r="B77" s="9">
        <v>1.0</v>
      </c>
      <c r="C77" s="9" t="s">
        <v>44</v>
      </c>
      <c r="D77" s="23">
        <v>183.0</v>
      </c>
      <c r="E77" s="11">
        <v>80.0</v>
      </c>
      <c r="F77" s="9">
        <v>4.0</v>
      </c>
      <c r="G77" s="9" t="s">
        <v>56</v>
      </c>
      <c r="H77" s="11">
        <v>2.0</v>
      </c>
      <c r="I77" s="9">
        <v>0.0</v>
      </c>
      <c r="J77" s="9" t="s">
        <v>50</v>
      </c>
      <c r="K77" s="9">
        <v>0.0</v>
      </c>
      <c r="L77" s="9" t="s">
        <v>47</v>
      </c>
      <c r="M77" s="11">
        <v>6.0</v>
      </c>
      <c r="N77" s="11">
        <v>6.8</v>
      </c>
      <c r="O77" s="9">
        <v>1.0</v>
      </c>
      <c r="P77" s="9" t="s">
        <v>48</v>
      </c>
      <c r="Q77" s="9">
        <v>1.0</v>
      </c>
      <c r="R77" s="9" t="s">
        <v>48</v>
      </c>
      <c r="S77" s="9">
        <v>1.0</v>
      </c>
      <c r="T77" s="9" t="s">
        <v>48</v>
      </c>
      <c r="U77" s="11">
        <v>4.0</v>
      </c>
    </row>
    <row r="78" ht="15.75" customHeight="1">
      <c r="A78" s="8">
        <v>77.0</v>
      </c>
      <c r="B78" s="9">
        <v>1.0</v>
      </c>
      <c r="C78" s="9" t="s">
        <v>44</v>
      </c>
      <c r="D78" s="23">
        <v>180.0</v>
      </c>
      <c r="E78" s="11">
        <v>85.0</v>
      </c>
      <c r="F78" s="9">
        <v>2.0</v>
      </c>
      <c r="G78" s="9" t="s">
        <v>55</v>
      </c>
      <c r="H78" s="11">
        <v>3.0</v>
      </c>
      <c r="I78" s="9">
        <v>2.0</v>
      </c>
      <c r="J78" s="9" t="s">
        <v>52</v>
      </c>
      <c r="K78" s="9">
        <v>0.0</v>
      </c>
      <c r="L78" s="9" t="s">
        <v>47</v>
      </c>
      <c r="M78" s="11">
        <v>5.7</v>
      </c>
      <c r="N78" s="11">
        <v>6.4</v>
      </c>
      <c r="O78" s="9">
        <v>1.0</v>
      </c>
      <c r="P78" s="9" t="s">
        <v>48</v>
      </c>
      <c r="Q78" s="9">
        <v>1.0</v>
      </c>
      <c r="R78" s="9" t="s">
        <v>48</v>
      </c>
      <c r="S78" s="9">
        <v>1.0</v>
      </c>
      <c r="T78" s="9" t="s">
        <v>48</v>
      </c>
      <c r="U78" s="11">
        <v>10.0</v>
      </c>
    </row>
    <row r="79" ht="15.75" customHeight="1">
      <c r="A79" s="8">
        <v>78.0</v>
      </c>
      <c r="B79" s="9">
        <v>1.0</v>
      </c>
      <c r="C79" s="9" t="s">
        <v>44</v>
      </c>
      <c r="D79" s="26">
        <v>175.0</v>
      </c>
      <c r="E79" s="11">
        <v>75.0</v>
      </c>
      <c r="F79" s="9">
        <v>4.0</v>
      </c>
      <c r="G79" s="9" t="s">
        <v>56</v>
      </c>
      <c r="H79" s="11">
        <v>1.0</v>
      </c>
      <c r="I79" s="9">
        <v>2.0</v>
      </c>
      <c r="J79" s="9" t="s">
        <v>52</v>
      </c>
      <c r="K79" s="9">
        <v>0.0</v>
      </c>
      <c r="L79" s="9" t="s">
        <v>47</v>
      </c>
      <c r="M79" s="11">
        <v>7.3</v>
      </c>
      <c r="N79" s="11">
        <v>9.5</v>
      </c>
      <c r="O79" s="9">
        <v>1.0</v>
      </c>
      <c r="P79" s="9" t="s">
        <v>48</v>
      </c>
      <c r="Q79" s="9">
        <v>1.0</v>
      </c>
      <c r="R79" s="9" t="s">
        <v>48</v>
      </c>
      <c r="S79" s="9">
        <v>1.0</v>
      </c>
      <c r="T79" s="9" t="s">
        <v>48</v>
      </c>
      <c r="U79" s="11">
        <v>5.0</v>
      </c>
    </row>
    <row r="80" ht="15.75" customHeight="1">
      <c r="A80" s="8">
        <v>79.0</v>
      </c>
      <c r="B80" s="9">
        <v>1.0</v>
      </c>
      <c r="C80" s="9" t="s">
        <v>44</v>
      </c>
      <c r="D80" s="26">
        <v>180.0</v>
      </c>
      <c r="E80" s="11">
        <v>72.0</v>
      </c>
      <c r="F80" s="9">
        <v>3.0</v>
      </c>
      <c r="G80" s="9" t="s">
        <v>49</v>
      </c>
      <c r="H80" s="11">
        <v>2.0</v>
      </c>
      <c r="I80" s="9">
        <v>0.0</v>
      </c>
      <c r="J80" s="9" t="s">
        <v>50</v>
      </c>
      <c r="K80" s="9">
        <v>1.0</v>
      </c>
      <c r="L80" s="9" t="s">
        <v>51</v>
      </c>
      <c r="M80" s="11">
        <v>6.98</v>
      </c>
      <c r="N80" s="11">
        <v>9.3</v>
      </c>
      <c r="O80" s="9">
        <v>1.0</v>
      </c>
      <c r="P80" s="9" t="s">
        <v>48</v>
      </c>
      <c r="Q80" s="9">
        <v>1.0</v>
      </c>
      <c r="R80" s="9" t="s">
        <v>48</v>
      </c>
      <c r="S80" s="9">
        <v>1.0</v>
      </c>
      <c r="T80" s="9" t="s">
        <v>48</v>
      </c>
      <c r="U80" s="11">
        <v>2.0</v>
      </c>
    </row>
    <row r="81" ht="15.75" customHeight="1">
      <c r="A81" s="8">
        <v>80.0</v>
      </c>
      <c r="B81" s="9">
        <v>1.0</v>
      </c>
      <c r="C81" s="9" t="s">
        <v>44</v>
      </c>
      <c r="D81" s="26">
        <v>175.0</v>
      </c>
      <c r="E81" s="11">
        <v>68.0</v>
      </c>
      <c r="F81" s="9">
        <v>2.0</v>
      </c>
      <c r="G81" s="9" t="s">
        <v>55</v>
      </c>
      <c r="H81" s="11">
        <v>2.0</v>
      </c>
      <c r="I81" s="9">
        <v>0.0</v>
      </c>
      <c r="J81" s="9" t="s">
        <v>50</v>
      </c>
      <c r="K81" s="9">
        <v>1.0</v>
      </c>
      <c r="L81" s="9" t="s">
        <v>51</v>
      </c>
      <c r="M81" s="11">
        <v>6.5</v>
      </c>
      <c r="N81" s="11">
        <v>8.4</v>
      </c>
      <c r="O81" s="9">
        <v>1.0</v>
      </c>
      <c r="P81" s="9" t="s">
        <v>48</v>
      </c>
      <c r="Q81" s="9">
        <v>1.0</v>
      </c>
      <c r="R81" s="9" t="s">
        <v>48</v>
      </c>
      <c r="S81" s="9">
        <v>1.0</v>
      </c>
      <c r="T81" s="9" t="s">
        <v>48</v>
      </c>
      <c r="U81" s="11">
        <v>2.0</v>
      </c>
    </row>
    <row r="82" ht="15.75" customHeight="1">
      <c r="A82" s="8">
        <v>81.0</v>
      </c>
      <c r="B82" s="9">
        <v>1.0</v>
      </c>
      <c r="C82" s="9" t="s">
        <v>44</v>
      </c>
      <c r="D82" s="23">
        <v>180.0</v>
      </c>
      <c r="E82" s="11">
        <v>72.0</v>
      </c>
      <c r="F82" s="9">
        <v>2.0</v>
      </c>
      <c r="G82" s="9" t="s">
        <v>55</v>
      </c>
      <c r="H82" s="11">
        <v>3.0</v>
      </c>
      <c r="I82" s="9">
        <v>0.0</v>
      </c>
      <c r="J82" s="9" t="s">
        <v>50</v>
      </c>
      <c r="K82" s="9">
        <v>1.0</v>
      </c>
      <c r="L82" s="9" t="s">
        <v>51</v>
      </c>
      <c r="M82" s="11">
        <v>6.7</v>
      </c>
      <c r="N82" s="11">
        <v>6.3</v>
      </c>
      <c r="O82" s="9">
        <v>1.0</v>
      </c>
      <c r="P82" s="9" t="s">
        <v>48</v>
      </c>
      <c r="Q82" s="9">
        <v>1.0</v>
      </c>
      <c r="R82" s="9" t="s">
        <v>48</v>
      </c>
      <c r="S82" s="9">
        <v>1.0</v>
      </c>
      <c r="T82" s="9" t="s">
        <v>48</v>
      </c>
      <c r="U82" s="11">
        <v>1.0</v>
      </c>
    </row>
    <row r="83" ht="15.75" customHeight="1">
      <c r="A83" s="8">
        <v>82.0</v>
      </c>
      <c r="B83" s="9">
        <v>1.0</v>
      </c>
      <c r="C83" s="9" t="s">
        <v>44</v>
      </c>
      <c r="D83" s="23">
        <v>180.0</v>
      </c>
      <c r="E83" s="11">
        <v>70.0</v>
      </c>
      <c r="F83" s="9">
        <v>2.0</v>
      </c>
      <c r="G83" s="9" t="s">
        <v>55</v>
      </c>
      <c r="H83" s="11">
        <v>3.0</v>
      </c>
      <c r="I83" s="9">
        <v>0.0</v>
      </c>
      <c r="J83" s="9" t="s">
        <v>50</v>
      </c>
      <c r="K83" s="9">
        <v>1.0</v>
      </c>
      <c r="L83" s="9" t="s">
        <v>51</v>
      </c>
      <c r="M83" s="11">
        <v>6.7</v>
      </c>
      <c r="N83" s="11">
        <v>7.0</v>
      </c>
      <c r="O83" s="9">
        <v>1.0</v>
      </c>
      <c r="P83" s="9" t="s">
        <v>48</v>
      </c>
      <c r="Q83" s="9">
        <v>1.0</v>
      </c>
      <c r="R83" s="9" t="s">
        <v>48</v>
      </c>
      <c r="S83" s="9">
        <v>1.0</v>
      </c>
      <c r="T83" s="9" t="s">
        <v>48</v>
      </c>
      <c r="U83" s="11">
        <v>30.0</v>
      </c>
    </row>
    <row r="84" ht="15.75" customHeight="1">
      <c r="A84" s="8">
        <v>83.0</v>
      </c>
      <c r="B84" s="9">
        <v>0.0</v>
      </c>
      <c r="C84" s="9" t="s">
        <v>54</v>
      </c>
      <c r="D84" s="23">
        <v>162.0</v>
      </c>
      <c r="E84" s="11">
        <v>56.0</v>
      </c>
      <c r="F84" s="9">
        <v>2.0</v>
      </c>
      <c r="G84" s="9" t="s">
        <v>55</v>
      </c>
      <c r="H84" s="11">
        <v>3.0</v>
      </c>
      <c r="I84" s="9">
        <v>0.0</v>
      </c>
      <c r="J84" s="9" t="s">
        <v>50</v>
      </c>
      <c r="K84" s="9">
        <v>0.0</v>
      </c>
      <c r="L84" s="9" t="s">
        <v>47</v>
      </c>
      <c r="M84" s="11">
        <v>5.6</v>
      </c>
      <c r="N84" s="11">
        <v>6.7</v>
      </c>
      <c r="O84" s="9">
        <v>1.0</v>
      </c>
      <c r="P84" s="9" t="s">
        <v>48</v>
      </c>
      <c r="Q84" s="9">
        <v>1.0</v>
      </c>
      <c r="R84" s="9" t="s">
        <v>48</v>
      </c>
      <c r="S84" s="9">
        <v>1.0</v>
      </c>
      <c r="T84" s="9" t="s">
        <v>48</v>
      </c>
      <c r="U84" s="11">
        <v>7.0</v>
      </c>
    </row>
    <row r="85" ht="15.75" customHeight="1">
      <c r="A85" s="8">
        <v>84.0</v>
      </c>
      <c r="B85" s="9">
        <v>1.0</v>
      </c>
      <c r="C85" s="9" t="s">
        <v>44</v>
      </c>
      <c r="D85" s="23">
        <v>186.0</v>
      </c>
      <c r="E85" s="11">
        <v>90.0</v>
      </c>
      <c r="F85" s="9">
        <v>4.0</v>
      </c>
      <c r="G85" s="9" t="s">
        <v>56</v>
      </c>
      <c r="H85" s="11">
        <v>2.0</v>
      </c>
      <c r="I85" s="9">
        <v>1.0</v>
      </c>
      <c r="J85" s="9" t="s">
        <v>57</v>
      </c>
      <c r="K85" s="9">
        <v>1.0</v>
      </c>
      <c r="L85" s="9" t="s">
        <v>51</v>
      </c>
      <c r="M85" s="11">
        <v>7.6</v>
      </c>
      <c r="N85" s="11">
        <v>9.0</v>
      </c>
      <c r="O85" s="9">
        <v>1.0</v>
      </c>
      <c r="P85" s="9" t="s">
        <v>48</v>
      </c>
      <c r="Q85" s="9">
        <v>1.0</v>
      </c>
      <c r="R85" s="9" t="s">
        <v>48</v>
      </c>
      <c r="S85" s="9">
        <v>1.0</v>
      </c>
      <c r="T85" s="9" t="s">
        <v>48</v>
      </c>
      <c r="U85" s="11">
        <v>8.0</v>
      </c>
    </row>
    <row r="86" ht="15.75" customHeight="1">
      <c r="A86" s="8">
        <v>85.0</v>
      </c>
      <c r="B86" s="9">
        <v>0.0</v>
      </c>
      <c r="C86" s="9" t="s">
        <v>54</v>
      </c>
      <c r="D86" s="23">
        <v>168.0</v>
      </c>
      <c r="E86" s="11">
        <v>55.0</v>
      </c>
      <c r="F86" s="9">
        <v>0.0</v>
      </c>
      <c r="G86" s="9" t="s">
        <v>58</v>
      </c>
      <c r="H86" s="11">
        <v>1.0</v>
      </c>
      <c r="I86" s="9">
        <v>2.0</v>
      </c>
      <c r="J86" s="9" t="s">
        <v>52</v>
      </c>
      <c r="K86" s="9">
        <v>0.0</v>
      </c>
      <c r="L86" s="9" t="s">
        <v>47</v>
      </c>
      <c r="M86" s="11">
        <v>6.8</v>
      </c>
      <c r="N86" s="11">
        <v>8.2</v>
      </c>
      <c r="O86" s="9">
        <v>1.0</v>
      </c>
      <c r="P86" s="9" t="s">
        <v>48</v>
      </c>
      <c r="Q86" s="9">
        <v>0.0</v>
      </c>
      <c r="R86" s="9" t="s">
        <v>53</v>
      </c>
      <c r="S86" s="9">
        <v>1.0</v>
      </c>
      <c r="T86" s="9" t="s">
        <v>48</v>
      </c>
      <c r="U86" s="11">
        <v>5.0</v>
      </c>
    </row>
    <row r="87" ht="15.75" customHeight="1">
      <c r="A87" s="8">
        <v>86.0</v>
      </c>
      <c r="B87" s="9">
        <v>1.0</v>
      </c>
      <c r="C87" s="9" t="s">
        <v>44</v>
      </c>
      <c r="D87" s="23">
        <v>181.0</v>
      </c>
      <c r="E87" s="11">
        <v>75.0</v>
      </c>
      <c r="F87" s="9">
        <v>2.0</v>
      </c>
      <c r="G87" s="9" t="s">
        <v>55</v>
      </c>
      <c r="H87" s="11">
        <v>3.0</v>
      </c>
      <c r="I87" s="9">
        <v>0.0</v>
      </c>
      <c r="J87" s="9" t="s">
        <v>50</v>
      </c>
      <c r="K87" s="9">
        <v>1.0</v>
      </c>
      <c r="L87" s="9" t="s">
        <v>51</v>
      </c>
      <c r="M87" s="11">
        <v>6.8</v>
      </c>
      <c r="N87" s="11">
        <v>8.7</v>
      </c>
      <c r="O87" s="9">
        <v>1.0</v>
      </c>
      <c r="P87" s="9" t="s">
        <v>48</v>
      </c>
      <c r="Q87" s="9">
        <v>1.0</v>
      </c>
      <c r="R87" s="9" t="s">
        <v>48</v>
      </c>
      <c r="S87" s="9">
        <v>1.0</v>
      </c>
      <c r="T87" s="9" t="s">
        <v>48</v>
      </c>
      <c r="U87" s="11">
        <v>14.0</v>
      </c>
    </row>
    <row r="88" ht="15.75" customHeight="1">
      <c r="A88" s="8">
        <v>87.0</v>
      </c>
      <c r="B88" s="9">
        <v>1.0</v>
      </c>
      <c r="C88" s="9" t="s">
        <v>44</v>
      </c>
      <c r="D88" s="23">
        <v>158.0</v>
      </c>
      <c r="E88" s="11">
        <v>60.0</v>
      </c>
      <c r="F88" s="9">
        <v>1.0</v>
      </c>
      <c r="G88" s="9" t="s">
        <v>45</v>
      </c>
      <c r="H88" s="11">
        <v>1.0</v>
      </c>
      <c r="I88" s="9">
        <v>2.0</v>
      </c>
      <c r="J88" s="9" t="s">
        <v>52</v>
      </c>
      <c r="K88" s="9">
        <v>0.0</v>
      </c>
      <c r="L88" s="9" t="s">
        <v>47</v>
      </c>
      <c r="M88" s="11">
        <v>6.0</v>
      </c>
      <c r="N88" s="11">
        <v>7.0</v>
      </c>
      <c r="O88" s="9">
        <v>1.0</v>
      </c>
      <c r="P88" s="9" t="s">
        <v>48</v>
      </c>
      <c r="Q88" s="9">
        <v>1.0</v>
      </c>
      <c r="R88" s="9" t="s">
        <v>48</v>
      </c>
      <c r="S88" s="9">
        <v>1.0</v>
      </c>
      <c r="T88" s="9" t="s">
        <v>48</v>
      </c>
      <c r="U88" s="11">
        <v>5.0</v>
      </c>
    </row>
    <row r="89" ht="15.75" customHeight="1">
      <c r="A89" s="8">
        <v>88.0</v>
      </c>
      <c r="B89" s="9">
        <v>1.0</v>
      </c>
      <c r="C89" s="9" t="s">
        <v>44</v>
      </c>
      <c r="D89" s="23">
        <v>178.0</v>
      </c>
      <c r="E89" s="11">
        <v>70.0</v>
      </c>
      <c r="F89" s="9">
        <v>2.0</v>
      </c>
      <c r="G89" s="9" t="s">
        <v>55</v>
      </c>
      <c r="H89" s="11">
        <v>2.0</v>
      </c>
      <c r="I89" s="9">
        <v>0.0</v>
      </c>
      <c r="J89" s="9" t="s">
        <v>50</v>
      </c>
      <c r="K89" s="9">
        <v>0.0</v>
      </c>
      <c r="L89" s="9" t="s">
        <v>47</v>
      </c>
      <c r="M89" s="11">
        <v>5.7</v>
      </c>
      <c r="N89" s="11">
        <v>5.5</v>
      </c>
      <c r="O89" s="9">
        <v>0.0</v>
      </c>
      <c r="P89" s="9" t="s">
        <v>53</v>
      </c>
      <c r="Q89" s="9">
        <v>1.0</v>
      </c>
      <c r="R89" s="9" t="s">
        <v>48</v>
      </c>
      <c r="S89" s="9">
        <v>1.0</v>
      </c>
      <c r="T89" s="9" t="s">
        <v>48</v>
      </c>
      <c r="U89" s="11">
        <v>12.0</v>
      </c>
    </row>
    <row r="90" ht="15.75" customHeight="1">
      <c r="A90" s="8">
        <v>89.0</v>
      </c>
      <c r="B90" s="9">
        <v>1.0</v>
      </c>
      <c r="C90" s="9" t="s">
        <v>44</v>
      </c>
      <c r="D90" s="23">
        <v>175.0</v>
      </c>
      <c r="E90" s="11">
        <v>72.0</v>
      </c>
      <c r="F90" s="9">
        <v>3.0</v>
      </c>
      <c r="G90" s="9" t="s">
        <v>49</v>
      </c>
      <c r="H90" s="11">
        <v>2.0</v>
      </c>
      <c r="I90" s="9">
        <v>0.0</v>
      </c>
      <c r="J90" s="9" t="s">
        <v>50</v>
      </c>
      <c r="K90" s="9">
        <v>1.0</v>
      </c>
      <c r="L90" s="9" t="s">
        <v>51</v>
      </c>
      <c r="M90" s="11">
        <v>7.0</v>
      </c>
      <c r="N90" s="11">
        <v>7.03</v>
      </c>
      <c r="O90" s="9">
        <v>1.0</v>
      </c>
      <c r="P90" s="9" t="s">
        <v>48</v>
      </c>
      <c r="Q90" s="9">
        <v>1.0</v>
      </c>
      <c r="R90" s="9" t="s">
        <v>48</v>
      </c>
      <c r="S90" s="9">
        <v>1.0</v>
      </c>
      <c r="T90" s="9" t="s">
        <v>48</v>
      </c>
      <c r="U90" s="11">
        <v>2.0</v>
      </c>
    </row>
    <row r="91" ht="15.75" customHeight="1">
      <c r="A91" s="8">
        <v>90.0</v>
      </c>
      <c r="B91" s="9">
        <v>0.0</v>
      </c>
      <c r="C91" s="9" t="s">
        <v>54</v>
      </c>
      <c r="D91" s="23">
        <v>162.0</v>
      </c>
      <c r="E91" s="11">
        <v>44.0</v>
      </c>
      <c r="F91" s="9">
        <v>3.0</v>
      </c>
      <c r="G91" s="9" t="s">
        <v>49</v>
      </c>
      <c r="H91" s="11">
        <v>2.0</v>
      </c>
      <c r="I91" s="9">
        <v>1.0</v>
      </c>
      <c r="J91" s="9" t="s">
        <v>57</v>
      </c>
      <c r="K91" s="9">
        <v>0.0</v>
      </c>
      <c r="L91" s="9" t="s">
        <v>47</v>
      </c>
      <c r="M91" s="11">
        <v>6.7</v>
      </c>
      <c r="N91" s="11">
        <v>7.3</v>
      </c>
      <c r="O91" s="9">
        <v>1.0</v>
      </c>
      <c r="P91" s="9" t="s">
        <v>48</v>
      </c>
      <c r="Q91" s="9">
        <v>1.0</v>
      </c>
      <c r="R91" s="9" t="s">
        <v>48</v>
      </c>
      <c r="S91" s="9">
        <v>1.0</v>
      </c>
      <c r="T91" s="9" t="s">
        <v>48</v>
      </c>
      <c r="U91" s="11">
        <v>70.0</v>
      </c>
    </row>
    <row r="92" ht="15.75" customHeight="1">
      <c r="A92" s="8">
        <v>91.0</v>
      </c>
      <c r="B92" s="9">
        <v>0.0</v>
      </c>
      <c r="C92" s="9" t="s">
        <v>54</v>
      </c>
      <c r="D92" s="23">
        <v>158.0</v>
      </c>
      <c r="E92" s="11">
        <v>51.0</v>
      </c>
      <c r="F92" s="9">
        <v>1.0</v>
      </c>
      <c r="G92" s="9" t="s">
        <v>45</v>
      </c>
      <c r="H92" s="11">
        <v>3.0</v>
      </c>
      <c r="I92" s="9">
        <v>3.0</v>
      </c>
      <c r="J92" s="9" t="s">
        <v>46</v>
      </c>
      <c r="K92" s="9">
        <v>1.0</v>
      </c>
      <c r="L92" s="9" t="s">
        <v>51</v>
      </c>
      <c r="M92" s="11">
        <v>5.6</v>
      </c>
      <c r="N92" s="11">
        <v>6.73</v>
      </c>
      <c r="O92" s="9">
        <v>1.0</v>
      </c>
      <c r="P92" s="9" t="s">
        <v>48</v>
      </c>
      <c r="Q92" s="9">
        <v>1.0</v>
      </c>
      <c r="R92" s="9" t="s">
        <v>48</v>
      </c>
      <c r="S92" s="9">
        <v>1.0</v>
      </c>
      <c r="T92" s="9" t="s">
        <v>48</v>
      </c>
      <c r="U92" s="11">
        <v>20.0</v>
      </c>
    </row>
    <row r="93" ht="15.75" customHeight="1">
      <c r="A93" s="8">
        <v>92.0</v>
      </c>
      <c r="B93" s="27"/>
      <c r="C93" s="27"/>
      <c r="D93" s="23">
        <v>176.0</v>
      </c>
      <c r="E93" s="11">
        <v>60.0</v>
      </c>
      <c r="F93" s="9">
        <v>3.0</v>
      </c>
      <c r="G93" s="9" t="s">
        <v>49</v>
      </c>
      <c r="H93" s="11">
        <v>1.0</v>
      </c>
      <c r="I93" s="9">
        <v>0.0</v>
      </c>
      <c r="J93" s="9" t="s">
        <v>50</v>
      </c>
      <c r="K93" s="9">
        <v>1.0</v>
      </c>
      <c r="L93" s="9" t="s">
        <v>51</v>
      </c>
      <c r="M93" s="11">
        <v>6.5</v>
      </c>
      <c r="N93" s="11">
        <v>6.1</v>
      </c>
      <c r="O93" s="9">
        <v>1.0</v>
      </c>
      <c r="P93" s="9" t="s">
        <v>48</v>
      </c>
      <c r="Q93" s="9">
        <v>0.0</v>
      </c>
      <c r="R93" s="9" t="s">
        <v>53</v>
      </c>
      <c r="S93" s="9">
        <v>1.0</v>
      </c>
      <c r="T93" s="9" t="s">
        <v>48</v>
      </c>
      <c r="U93" s="11">
        <v>30.0</v>
      </c>
    </row>
    <row r="94" ht="15.75" customHeight="1">
      <c r="A94" s="8">
        <v>93.0</v>
      </c>
      <c r="B94" s="9">
        <v>0.0</v>
      </c>
      <c r="C94" s="9" t="s">
        <v>54</v>
      </c>
      <c r="D94" s="23">
        <v>172.0</v>
      </c>
      <c r="E94" s="11">
        <v>63.0</v>
      </c>
      <c r="F94" s="9">
        <v>1.0</v>
      </c>
      <c r="G94" s="9" t="s">
        <v>45</v>
      </c>
      <c r="H94" s="11">
        <v>2.0</v>
      </c>
      <c r="I94" s="9">
        <v>2.0</v>
      </c>
      <c r="J94" s="9" t="s">
        <v>52</v>
      </c>
      <c r="K94" s="9">
        <v>0.0</v>
      </c>
      <c r="L94" s="9" t="s">
        <v>47</v>
      </c>
      <c r="M94" s="11">
        <v>8.5</v>
      </c>
      <c r="N94" s="11">
        <v>8.4</v>
      </c>
      <c r="O94" s="9">
        <v>1.0</v>
      </c>
      <c r="P94" s="9" t="s">
        <v>48</v>
      </c>
      <c r="Q94" s="9">
        <v>1.0</v>
      </c>
      <c r="R94" s="9" t="s">
        <v>48</v>
      </c>
      <c r="S94" s="9">
        <v>1.0</v>
      </c>
      <c r="T94" s="9" t="s">
        <v>48</v>
      </c>
      <c r="U94" s="11">
        <v>5.0</v>
      </c>
    </row>
    <row r="95" ht="15.75" customHeight="1">
      <c r="A95" s="8">
        <v>94.0</v>
      </c>
      <c r="B95" s="9">
        <v>1.0</v>
      </c>
      <c r="C95" s="9" t="s">
        <v>44</v>
      </c>
      <c r="D95" s="23">
        <v>180.0</v>
      </c>
      <c r="E95" s="11">
        <v>63.0</v>
      </c>
      <c r="F95" s="9">
        <v>2.0</v>
      </c>
      <c r="G95" s="9" t="s">
        <v>55</v>
      </c>
      <c r="H95" s="11">
        <v>3.0</v>
      </c>
      <c r="I95" s="9">
        <v>0.0</v>
      </c>
      <c r="J95" s="9" t="s">
        <v>50</v>
      </c>
      <c r="K95" s="9">
        <v>1.0</v>
      </c>
      <c r="L95" s="9" t="s">
        <v>51</v>
      </c>
      <c r="M95" s="11">
        <v>6.9</v>
      </c>
      <c r="N95" s="24"/>
      <c r="O95" s="9">
        <v>1.0</v>
      </c>
      <c r="P95" s="9" t="s">
        <v>48</v>
      </c>
      <c r="Q95" s="9">
        <v>1.0</v>
      </c>
      <c r="R95" s="9" t="s">
        <v>48</v>
      </c>
      <c r="S95" s="9">
        <v>1.0</v>
      </c>
      <c r="T95" s="9" t="s">
        <v>48</v>
      </c>
      <c r="U95" s="11">
        <v>50.0</v>
      </c>
    </row>
    <row r="96" ht="15.75" customHeight="1">
      <c r="A96" s="8">
        <v>95.0</v>
      </c>
      <c r="B96" s="9">
        <v>0.0</v>
      </c>
      <c r="C96" s="9" t="s">
        <v>54</v>
      </c>
      <c r="D96" s="23">
        <v>171.0</v>
      </c>
      <c r="E96" s="11">
        <v>62.0</v>
      </c>
      <c r="F96" s="9">
        <v>1.0</v>
      </c>
      <c r="G96" s="9" t="s">
        <v>45</v>
      </c>
      <c r="H96" s="11">
        <v>2.0</v>
      </c>
      <c r="I96" s="9">
        <v>0.0</v>
      </c>
      <c r="J96" s="9" t="s">
        <v>50</v>
      </c>
      <c r="K96" s="9">
        <v>1.0</v>
      </c>
      <c r="L96" s="9" t="s">
        <v>51</v>
      </c>
      <c r="M96" s="11">
        <v>5.8</v>
      </c>
      <c r="N96" s="11">
        <v>5.8</v>
      </c>
      <c r="O96" s="9">
        <v>1.0</v>
      </c>
      <c r="P96" s="9" t="s">
        <v>48</v>
      </c>
      <c r="Q96" s="9">
        <v>1.0</v>
      </c>
      <c r="R96" s="9" t="s">
        <v>48</v>
      </c>
      <c r="S96" s="9">
        <v>1.0</v>
      </c>
      <c r="T96" s="9" t="s">
        <v>48</v>
      </c>
      <c r="U96" s="11">
        <v>4.0</v>
      </c>
    </row>
    <row r="97" ht="15.75" customHeight="1">
      <c r="A97" s="8">
        <v>96.0</v>
      </c>
      <c r="B97" s="9">
        <v>0.0</v>
      </c>
      <c r="C97" s="9" t="s">
        <v>54</v>
      </c>
      <c r="D97" s="23">
        <v>165.0</v>
      </c>
      <c r="E97" s="11">
        <v>54.0</v>
      </c>
      <c r="F97" s="9">
        <v>3.0</v>
      </c>
      <c r="G97" s="9" t="s">
        <v>49</v>
      </c>
      <c r="H97" s="11">
        <v>1.0</v>
      </c>
      <c r="I97" s="9">
        <v>0.0</v>
      </c>
      <c r="J97" s="9" t="s">
        <v>50</v>
      </c>
      <c r="K97" s="9">
        <v>1.0</v>
      </c>
      <c r="L97" s="9" t="s">
        <v>51</v>
      </c>
      <c r="M97" s="11">
        <v>5.6</v>
      </c>
      <c r="N97" s="11">
        <v>6.2</v>
      </c>
      <c r="O97" s="9">
        <v>1.0</v>
      </c>
      <c r="P97" s="9" t="s">
        <v>48</v>
      </c>
      <c r="Q97" s="9">
        <v>1.0</v>
      </c>
      <c r="R97" s="9" t="s">
        <v>48</v>
      </c>
      <c r="S97" s="9">
        <v>1.0</v>
      </c>
      <c r="T97" s="9" t="s">
        <v>48</v>
      </c>
      <c r="U97" s="11">
        <v>12.0</v>
      </c>
    </row>
    <row r="98" ht="15.75" customHeight="1">
      <c r="A98" s="8">
        <v>97.0</v>
      </c>
      <c r="B98" s="9">
        <v>1.0</v>
      </c>
      <c r="C98" s="9" t="s">
        <v>44</v>
      </c>
      <c r="D98" s="23">
        <v>182.0</v>
      </c>
      <c r="E98" s="11">
        <v>65.0</v>
      </c>
      <c r="F98" s="9">
        <v>2.0</v>
      </c>
      <c r="G98" s="9" t="s">
        <v>55</v>
      </c>
      <c r="H98" s="11">
        <v>2.0</v>
      </c>
      <c r="I98" s="9">
        <v>0.0</v>
      </c>
      <c r="J98" s="9" t="s">
        <v>50</v>
      </c>
      <c r="K98" s="9">
        <v>1.0</v>
      </c>
      <c r="L98" s="9" t="s">
        <v>51</v>
      </c>
      <c r="M98" s="11">
        <v>9.1</v>
      </c>
      <c r="N98" s="11">
        <v>10.1</v>
      </c>
      <c r="O98" s="9">
        <v>1.0</v>
      </c>
      <c r="P98" s="9" t="s">
        <v>48</v>
      </c>
      <c r="Q98" s="9">
        <v>1.0</v>
      </c>
      <c r="R98" s="9" t="s">
        <v>48</v>
      </c>
      <c r="S98" s="9">
        <v>1.0</v>
      </c>
      <c r="T98" s="9" t="s">
        <v>48</v>
      </c>
      <c r="U98" s="11">
        <v>5.0</v>
      </c>
    </row>
    <row r="99" ht="15.75" customHeight="1">
      <c r="A99" s="8">
        <v>98.0</v>
      </c>
      <c r="B99" s="9">
        <v>0.0</v>
      </c>
      <c r="C99" s="9" t="s">
        <v>54</v>
      </c>
      <c r="D99" s="23">
        <v>165.0</v>
      </c>
      <c r="E99" s="11">
        <v>65.0</v>
      </c>
      <c r="F99" s="9">
        <v>1.0</v>
      </c>
      <c r="G99" s="9" t="s">
        <v>45</v>
      </c>
      <c r="H99" s="11">
        <v>1.0</v>
      </c>
      <c r="I99" s="9">
        <v>1.0</v>
      </c>
      <c r="J99" s="9" t="s">
        <v>57</v>
      </c>
      <c r="K99" s="9">
        <v>1.0</v>
      </c>
      <c r="L99" s="9" t="s">
        <v>51</v>
      </c>
      <c r="M99" s="11">
        <v>7.8</v>
      </c>
      <c r="N99" s="11">
        <v>9.8</v>
      </c>
      <c r="O99" s="9">
        <v>1.0</v>
      </c>
      <c r="P99" s="9" t="s">
        <v>48</v>
      </c>
      <c r="Q99" s="9">
        <v>1.0</v>
      </c>
      <c r="R99" s="9" t="s">
        <v>48</v>
      </c>
      <c r="S99" s="9">
        <v>1.0</v>
      </c>
      <c r="T99" s="9" t="s">
        <v>48</v>
      </c>
      <c r="U99" s="11">
        <v>70.0</v>
      </c>
    </row>
    <row r="100" ht="15.75" customHeight="1">
      <c r="A100" s="8">
        <v>99.0</v>
      </c>
      <c r="B100" s="9">
        <v>0.0</v>
      </c>
      <c r="C100" s="9" t="s">
        <v>54</v>
      </c>
      <c r="D100" s="23">
        <v>165.0</v>
      </c>
      <c r="E100" s="11">
        <v>57.0</v>
      </c>
      <c r="F100" s="9">
        <v>1.0</v>
      </c>
      <c r="G100" s="9" t="s">
        <v>45</v>
      </c>
      <c r="H100" s="11">
        <v>2.0</v>
      </c>
      <c r="I100" s="9">
        <v>2.0</v>
      </c>
      <c r="J100" s="9" t="s">
        <v>52</v>
      </c>
      <c r="K100" s="9">
        <v>0.0</v>
      </c>
      <c r="L100" s="9" t="s">
        <v>47</v>
      </c>
      <c r="M100" s="11">
        <v>8.25</v>
      </c>
      <c r="N100" s="11">
        <v>11.017</v>
      </c>
      <c r="O100" s="9">
        <v>1.0</v>
      </c>
      <c r="P100" s="9" t="s">
        <v>48</v>
      </c>
      <c r="Q100" s="9">
        <v>1.0</v>
      </c>
      <c r="R100" s="9" t="s">
        <v>48</v>
      </c>
      <c r="S100" s="9">
        <v>1.0</v>
      </c>
      <c r="T100" s="9" t="s">
        <v>48</v>
      </c>
      <c r="U100" s="11">
        <v>35.0</v>
      </c>
    </row>
    <row r="101" ht="15.75" customHeight="1">
      <c r="A101" s="8">
        <v>100.0</v>
      </c>
      <c r="B101" s="9">
        <v>1.0</v>
      </c>
      <c r="C101" s="9" t="s">
        <v>44</v>
      </c>
      <c r="D101" s="26">
        <v>185.0</v>
      </c>
      <c r="E101" s="11">
        <v>57.0</v>
      </c>
      <c r="F101" s="9">
        <v>2.0</v>
      </c>
      <c r="G101" s="9" t="s">
        <v>55</v>
      </c>
      <c r="H101" s="11">
        <v>2.0</v>
      </c>
      <c r="I101" s="9">
        <v>0.0</v>
      </c>
      <c r="J101" s="9" t="s">
        <v>50</v>
      </c>
      <c r="K101" s="9">
        <v>0.0</v>
      </c>
      <c r="L101" s="9" t="s">
        <v>47</v>
      </c>
      <c r="M101" s="11">
        <v>8.0</v>
      </c>
      <c r="N101" s="11">
        <v>8.0</v>
      </c>
      <c r="O101" s="9">
        <v>1.0</v>
      </c>
      <c r="P101" s="9" t="s">
        <v>48</v>
      </c>
      <c r="Q101" s="9">
        <v>1.0</v>
      </c>
      <c r="R101" s="9" t="s">
        <v>48</v>
      </c>
      <c r="S101" s="9">
        <v>0.0</v>
      </c>
      <c r="T101" s="9" t="s">
        <v>53</v>
      </c>
      <c r="U101" s="11">
        <v>0.0</v>
      </c>
    </row>
    <row r="102" ht="15.75" customHeight="1">
      <c r="A102" s="8">
        <v>101.0</v>
      </c>
      <c r="B102" s="9">
        <v>0.0</v>
      </c>
      <c r="C102" s="9" t="s">
        <v>54</v>
      </c>
      <c r="D102" s="26">
        <v>165.0</v>
      </c>
      <c r="E102" s="11">
        <v>50.0</v>
      </c>
      <c r="F102" s="9">
        <v>2.0</v>
      </c>
      <c r="G102" s="9" t="s">
        <v>55</v>
      </c>
      <c r="H102" s="11">
        <v>2.0</v>
      </c>
      <c r="I102" s="9">
        <v>0.0</v>
      </c>
      <c r="J102" s="9" t="s">
        <v>50</v>
      </c>
      <c r="K102" s="9">
        <v>1.0</v>
      </c>
      <c r="L102" s="9" t="s">
        <v>51</v>
      </c>
      <c r="M102" s="11">
        <v>9.7</v>
      </c>
      <c r="N102" s="11">
        <v>12.8</v>
      </c>
      <c r="O102" s="9">
        <v>1.0</v>
      </c>
      <c r="P102" s="9" t="s">
        <v>48</v>
      </c>
      <c r="Q102" s="9">
        <v>1.0</v>
      </c>
      <c r="R102" s="9" t="s">
        <v>48</v>
      </c>
      <c r="S102" s="9">
        <v>1.0</v>
      </c>
      <c r="T102" s="9" t="s">
        <v>48</v>
      </c>
      <c r="U102" s="11">
        <v>12.0</v>
      </c>
    </row>
    <row r="103" ht="15.75" customHeight="1">
      <c r="A103" s="8">
        <v>102.0</v>
      </c>
      <c r="B103" s="9">
        <v>0.0</v>
      </c>
      <c r="C103" s="9" t="s">
        <v>54</v>
      </c>
      <c r="D103" s="26">
        <v>173.0</v>
      </c>
      <c r="E103" s="11">
        <v>67.0</v>
      </c>
      <c r="F103" s="9">
        <v>2.0</v>
      </c>
      <c r="G103" s="9" t="s">
        <v>55</v>
      </c>
      <c r="H103" s="11">
        <v>2.0</v>
      </c>
      <c r="I103" s="9">
        <v>3.0</v>
      </c>
      <c r="J103" s="9" t="s">
        <v>46</v>
      </c>
      <c r="K103" s="9">
        <v>0.0</v>
      </c>
      <c r="L103" s="9" t="s">
        <v>47</v>
      </c>
      <c r="M103" s="11">
        <v>7.2</v>
      </c>
      <c r="N103" s="11">
        <v>6.2</v>
      </c>
      <c r="O103" s="9">
        <v>1.0</v>
      </c>
      <c r="P103" s="9" t="s">
        <v>48</v>
      </c>
      <c r="Q103" s="9">
        <v>1.0</v>
      </c>
      <c r="R103" s="9" t="s">
        <v>48</v>
      </c>
      <c r="S103" s="9">
        <v>1.0</v>
      </c>
      <c r="T103" s="9" t="s">
        <v>48</v>
      </c>
      <c r="U103" s="11">
        <v>50.0</v>
      </c>
    </row>
    <row r="104" ht="15.75" customHeight="1">
      <c r="A104" s="8">
        <v>103.0</v>
      </c>
      <c r="B104" s="9">
        <v>1.0</v>
      </c>
      <c r="C104" s="9" t="s">
        <v>44</v>
      </c>
      <c r="D104" s="26">
        <v>170.0</v>
      </c>
      <c r="E104" s="11">
        <v>72.0</v>
      </c>
      <c r="F104" s="9">
        <v>3.0</v>
      </c>
      <c r="G104" s="9" t="s">
        <v>49</v>
      </c>
      <c r="H104" s="11">
        <v>3.0</v>
      </c>
      <c r="I104" s="9">
        <v>0.0</v>
      </c>
      <c r="J104" s="9" t="s">
        <v>50</v>
      </c>
      <c r="K104" s="9">
        <v>1.0</v>
      </c>
      <c r="L104" s="9" t="s">
        <v>51</v>
      </c>
      <c r="M104" s="11">
        <v>7.0</v>
      </c>
      <c r="N104" s="11">
        <v>10.0</v>
      </c>
      <c r="O104" s="9">
        <v>1.0</v>
      </c>
      <c r="P104" s="9" t="s">
        <v>48</v>
      </c>
      <c r="Q104" s="9">
        <v>1.0</v>
      </c>
      <c r="R104" s="9" t="s">
        <v>48</v>
      </c>
      <c r="S104" s="9">
        <v>0.0</v>
      </c>
      <c r="T104" s="9" t="s">
        <v>53</v>
      </c>
      <c r="U104" s="11">
        <v>0.0</v>
      </c>
    </row>
    <row r="105" ht="15.75" customHeight="1">
      <c r="A105" s="8">
        <v>104.0</v>
      </c>
      <c r="B105" s="9">
        <v>1.0</v>
      </c>
      <c r="C105" s="9" t="s">
        <v>44</v>
      </c>
      <c r="D105" s="26">
        <v>189.0</v>
      </c>
      <c r="E105" s="11">
        <v>79.0</v>
      </c>
      <c r="F105" s="9">
        <v>2.0</v>
      </c>
      <c r="G105" s="9" t="s">
        <v>55</v>
      </c>
      <c r="H105" s="11">
        <v>2.0</v>
      </c>
      <c r="I105" s="9">
        <v>0.0</v>
      </c>
      <c r="J105" s="9" t="s">
        <v>50</v>
      </c>
      <c r="K105" s="9">
        <v>1.0</v>
      </c>
      <c r="L105" s="9" t="s">
        <v>51</v>
      </c>
      <c r="M105" s="11">
        <v>6.2</v>
      </c>
      <c r="N105" s="11">
        <v>7.3</v>
      </c>
      <c r="O105" s="9">
        <v>1.0</v>
      </c>
      <c r="P105" s="9" t="s">
        <v>48</v>
      </c>
      <c r="Q105" s="9">
        <v>1.0</v>
      </c>
      <c r="R105" s="9" t="s">
        <v>48</v>
      </c>
      <c r="S105" s="9">
        <v>1.0</v>
      </c>
      <c r="T105" s="9" t="s">
        <v>48</v>
      </c>
      <c r="U105" s="11">
        <v>6.0</v>
      </c>
    </row>
    <row r="106" ht="15.75" customHeight="1">
      <c r="A106" s="8">
        <v>105.0</v>
      </c>
      <c r="B106" s="9">
        <v>1.0</v>
      </c>
      <c r="C106" s="9" t="s">
        <v>44</v>
      </c>
      <c r="D106" s="26">
        <v>170.0</v>
      </c>
      <c r="E106" s="11">
        <v>64.0</v>
      </c>
      <c r="F106" s="9">
        <v>3.0</v>
      </c>
      <c r="G106" s="9" t="s">
        <v>49</v>
      </c>
      <c r="H106" s="11">
        <v>3.0</v>
      </c>
      <c r="I106" s="9">
        <v>3.0</v>
      </c>
      <c r="J106" s="9" t="s">
        <v>46</v>
      </c>
      <c r="K106" s="9">
        <v>0.0</v>
      </c>
      <c r="L106" s="9" t="s">
        <v>47</v>
      </c>
      <c r="M106" s="11">
        <v>8.0</v>
      </c>
      <c r="N106" s="11">
        <v>8.0</v>
      </c>
      <c r="O106" s="9">
        <v>1.0</v>
      </c>
      <c r="P106" s="9" t="s">
        <v>48</v>
      </c>
      <c r="Q106" s="9">
        <v>1.0</v>
      </c>
      <c r="R106" s="9" t="s">
        <v>48</v>
      </c>
      <c r="S106" s="9">
        <v>1.0</v>
      </c>
      <c r="T106" s="9" t="s">
        <v>48</v>
      </c>
      <c r="U106" s="11">
        <v>5.0</v>
      </c>
    </row>
    <row r="107" ht="15.75" customHeight="1">
      <c r="A107" s="8">
        <v>106.0</v>
      </c>
      <c r="B107" s="9">
        <v>1.0</v>
      </c>
      <c r="C107" s="9" t="s">
        <v>44</v>
      </c>
      <c r="D107" s="26">
        <v>185.0</v>
      </c>
      <c r="E107" s="11">
        <v>95.0</v>
      </c>
      <c r="F107" s="9">
        <v>3.0</v>
      </c>
      <c r="G107" s="9" t="s">
        <v>49</v>
      </c>
      <c r="H107" s="11">
        <v>2.0</v>
      </c>
      <c r="I107" s="9">
        <v>3.0</v>
      </c>
      <c r="J107" s="9" t="s">
        <v>46</v>
      </c>
      <c r="K107" s="9">
        <v>0.0</v>
      </c>
      <c r="L107" s="9" t="s">
        <v>47</v>
      </c>
      <c r="M107" s="11">
        <v>6.0</v>
      </c>
      <c r="N107" s="11">
        <v>8.0</v>
      </c>
      <c r="O107" s="9">
        <v>1.0</v>
      </c>
      <c r="P107" s="9" t="s">
        <v>48</v>
      </c>
      <c r="Q107" s="9">
        <v>1.0</v>
      </c>
      <c r="R107" s="9" t="s">
        <v>48</v>
      </c>
      <c r="S107" s="9">
        <v>1.0</v>
      </c>
      <c r="T107" s="9" t="s">
        <v>48</v>
      </c>
      <c r="U107" s="11">
        <v>10.0</v>
      </c>
    </row>
    <row r="108" ht="15.75" customHeight="1">
      <c r="A108" s="8">
        <v>107.0</v>
      </c>
      <c r="B108" s="9">
        <v>0.0</v>
      </c>
      <c r="C108" s="9" t="s">
        <v>54</v>
      </c>
      <c r="D108" s="26">
        <v>165.0</v>
      </c>
      <c r="E108" s="11">
        <v>58.0</v>
      </c>
      <c r="F108" s="9">
        <v>1.0</v>
      </c>
      <c r="G108" s="9" t="s">
        <v>45</v>
      </c>
      <c r="H108" s="11">
        <v>2.0</v>
      </c>
      <c r="I108" s="9">
        <v>0.0</v>
      </c>
      <c r="J108" s="9" t="s">
        <v>50</v>
      </c>
      <c r="K108" s="9">
        <v>1.0</v>
      </c>
      <c r="L108" s="9" t="s">
        <v>51</v>
      </c>
      <c r="M108" s="11">
        <v>9.0</v>
      </c>
      <c r="N108" s="11">
        <v>11.141</v>
      </c>
      <c r="O108" s="9">
        <v>1.0</v>
      </c>
      <c r="P108" s="9" t="s">
        <v>48</v>
      </c>
      <c r="Q108" s="9">
        <v>1.0</v>
      </c>
      <c r="R108" s="9" t="s">
        <v>48</v>
      </c>
      <c r="S108" s="9">
        <v>1.0</v>
      </c>
      <c r="T108" s="9" t="s">
        <v>48</v>
      </c>
      <c r="U108" s="11">
        <v>70.0</v>
      </c>
    </row>
    <row r="109" ht="15.75" customHeight="1">
      <c r="A109" s="8">
        <v>108.0</v>
      </c>
      <c r="B109" s="9">
        <v>1.0</v>
      </c>
      <c r="C109" s="9" t="s">
        <v>44</v>
      </c>
      <c r="D109" s="26">
        <v>189.0</v>
      </c>
      <c r="E109" s="11">
        <v>83.0</v>
      </c>
      <c r="F109" s="9">
        <v>2.0</v>
      </c>
      <c r="G109" s="9" t="s">
        <v>55</v>
      </c>
      <c r="H109" s="11"/>
      <c r="I109" s="9">
        <v>3.0</v>
      </c>
      <c r="J109" s="9" t="s">
        <v>46</v>
      </c>
      <c r="K109" s="9">
        <v>0.0</v>
      </c>
      <c r="L109" s="9" t="s">
        <v>47</v>
      </c>
      <c r="M109" s="11">
        <v>8.1</v>
      </c>
      <c r="N109" s="11">
        <v>11.8</v>
      </c>
      <c r="O109" s="9">
        <v>1.0</v>
      </c>
      <c r="P109" s="9" t="s">
        <v>48</v>
      </c>
      <c r="Q109" s="9">
        <v>1.0</v>
      </c>
      <c r="R109" s="9" t="s">
        <v>48</v>
      </c>
      <c r="S109" s="9">
        <v>1.0</v>
      </c>
      <c r="T109" s="9" t="s">
        <v>48</v>
      </c>
      <c r="U109" s="11">
        <v>20.0</v>
      </c>
    </row>
    <row r="110" ht="15.75" customHeight="1">
      <c r="A110" s="8">
        <v>109.0</v>
      </c>
      <c r="B110" s="9">
        <v>1.0</v>
      </c>
      <c r="C110" s="9" t="s">
        <v>44</v>
      </c>
      <c r="D110" s="26">
        <v>180.0</v>
      </c>
      <c r="E110" s="11">
        <v>75.0</v>
      </c>
      <c r="F110" s="9">
        <v>3.0</v>
      </c>
      <c r="G110" s="9" t="s">
        <v>49</v>
      </c>
      <c r="H110" s="11">
        <v>2.0</v>
      </c>
      <c r="I110" s="9">
        <v>1.0</v>
      </c>
      <c r="J110" s="9" t="s">
        <v>57</v>
      </c>
      <c r="K110" s="9">
        <v>0.0</v>
      </c>
      <c r="L110" s="9" t="s">
        <v>47</v>
      </c>
      <c r="M110" s="11">
        <v>5.5</v>
      </c>
      <c r="N110" s="11">
        <v>6.9</v>
      </c>
      <c r="O110" s="9">
        <v>1.0</v>
      </c>
      <c r="P110" s="9" t="s">
        <v>48</v>
      </c>
      <c r="Q110" s="9">
        <v>1.0</v>
      </c>
      <c r="R110" s="9" t="s">
        <v>48</v>
      </c>
      <c r="S110" s="9">
        <v>1.0</v>
      </c>
      <c r="T110" s="9" t="s">
        <v>48</v>
      </c>
      <c r="U110" s="11">
        <v>8.0</v>
      </c>
    </row>
    <row r="111" ht="15.75" customHeight="1">
      <c r="A111" s="8">
        <v>110.0</v>
      </c>
      <c r="B111" s="9">
        <v>1.0</v>
      </c>
      <c r="C111" s="9" t="s">
        <v>44</v>
      </c>
      <c r="D111" s="26">
        <v>192.0</v>
      </c>
      <c r="E111" s="11">
        <v>83.0</v>
      </c>
      <c r="F111" s="9">
        <v>4.0</v>
      </c>
      <c r="G111" s="9" t="s">
        <v>56</v>
      </c>
      <c r="H111" s="11">
        <v>2.0</v>
      </c>
      <c r="I111" s="9">
        <v>0.0</v>
      </c>
      <c r="J111" s="9" t="s">
        <v>50</v>
      </c>
      <c r="K111" s="9">
        <v>1.0</v>
      </c>
      <c r="L111" s="9" t="s">
        <v>51</v>
      </c>
      <c r="M111" s="11">
        <v>6.0</v>
      </c>
      <c r="N111" s="11">
        <v>5.2</v>
      </c>
      <c r="O111" s="27"/>
      <c r="P111" s="27"/>
      <c r="Q111" s="9">
        <v>1.0</v>
      </c>
      <c r="R111" s="9" t="s">
        <v>48</v>
      </c>
      <c r="S111" s="9">
        <v>1.0</v>
      </c>
      <c r="T111" s="9" t="s">
        <v>48</v>
      </c>
      <c r="U111" s="11">
        <v>15.0</v>
      </c>
    </row>
    <row r="112" ht="15.75" customHeight="1">
      <c r="A112" s="8">
        <v>111.0</v>
      </c>
      <c r="B112" s="9">
        <v>1.0</v>
      </c>
      <c r="C112" s="9" t="s">
        <v>44</v>
      </c>
      <c r="D112" s="26">
        <v>193.0</v>
      </c>
      <c r="E112" s="11">
        <v>85.0</v>
      </c>
      <c r="F112" s="9">
        <v>2.0</v>
      </c>
      <c r="G112" s="9" t="s">
        <v>55</v>
      </c>
      <c r="H112" s="11">
        <v>3.0</v>
      </c>
      <c r="I112" s="9">
        <v>3.0</v>
      </c>
      <c r="J112" s="9" t="s">
        <v>46</v>
      </c>
      <c r="K112" s="27"/>
      <c r="L112" s="27"/>
      <c r="M112" s="11">
        <v>6.3</v>
      </c>
      <c r="N112" s="11">
        <v>9.2</v>
      </c>
      <c r="O112" s="9">
        <v>1.0</v>
      </c>
      <c r="P112" s="9" t="s">
        <v>48</v>
      </c>
      <c r="Q112" s="9">
        <v>1.0</v>
      </c>
      <c r="R112" s="9" t="s">
        <v>48</v>
      </c>
      <c r="S112" s="9">
        <v>1.0</v>
      </c>
      <c r="T112" s="9" t="s">
        <v>48</v>
      </c>
      <c r="U112" s="11">
        <v>10.0</v>
      </c>
    </row>
    <row r="113" ht="15.75" customHeight="1">
      <c r="A113" s="8">
        <v>112.0</v>
      </c>
      <c r="B113" s="9">
        <v>0.0</v>
      </c>
      <c r="C113" s="9" t="s">
        <v>54</v>
      </c>
      <c r="D113" s="26">
        <v>165.0</v>
      </c>
      <c r="E113" s="11">
        <v>56.0</v>
      </c>
      <c r="F113" s="9">
        <v>1.0</v>
      </c>
      <c r="G113" s="9" t="s">
        <v>45</v>
      </c>
      <c r="H113" s="11">
        <v>2.0</v>
      </c>
      <c r="I113" s="9">
        <v>2.0</v>
      </c>
      <c r="J113" s="9" t="s">
        <v>52</v>
      </c>
      <c r="K113" s="9">
        <v>0.0</v>
      </c>
      <c r="L113" s="9" t="s">
        <v>47</v>
      </c>
      <c r="M113" s="11">
        <v>8.1</v>
      </c>
      <c r="N113" s="11">
        <v>11.2</v>
      </c>
      <c r="O113" s="9">
        <v>1.0</v>
      </c>
      <c r="P113" s="9" t="s">
        <v>48</v>
      </c>
      <c r="Q113" s="9">
        <v>1.0</v>
      </c>
      <c r="R113" s="9" t="s">
        <v>48</v>
      </c>
      <c r="S113" s="9">
        <v>1.0</v>
      </c>
      <c r="T113" s="9" t="s">
        <v>48</v>
      </c>
      <c r="U113" s="11">
        <v>5.0</v>
      </c>
    </row>
    <row r="114" ht="15.75" customHeight="1">
      <c r="A114" s="8">
        <v>113.0</v>
      </c>
      <c r="B114" s="9">
        <v>1.0</v>
      </c>
      <c r="C114" s="9" t="s">
        <v>44</v>
      </c>
      <c r="D114" s="26">
        <v>170.0</v>
      </c>
      <c r="E114" s="11">
        <v>60.0</v>
      </c>
      <c r="F114" s="9">
        <v>2.0</v>
      </c>
      <c r="G114" s="9" t="s">
        <v>55</v>
      </c>
      <c r="H114" s="11">
        <v>2.0</v>
      </c>
      <c r="I114" s="9">
        <v>1.0</v>
      </c>
      <c r="J114" s="9" t="s">
        <v>57</v>
      </c>
      <c r="K114" s="9">
        <v>0.0</v>
      </c>
      <c r="L114" s="9" t="s">
        <v>47</v>
      </c>
      <c r="M114" s="11">
        <v>6.6</v>
      </c>
      <c r="N114" s="11">
        <v>10.017</v>
      </c>
      <c r="O114" s="9">
        <v>1.0</v>
      </c>
      <c r="P114" s="9" t="s">
        <v>48</v>
      </c>
      <c r="Q114" s="9">
        <v>1.0</v>
      </c>
      <c r="R114" s="9" t="s">
        <v>48</v>
      </c>
      <c r="S114" s="9">
        <v>1.0</v>
      </c>
      <c r="T114" s="9" t="s">
        <v>48</v>
      </c>
      <c r="U114" s="11">
        <v>5.0</v>
      </c>
    </row>
    <row r="115" ht="15.75" customHeight="1">
      <c r="A115" s="8">
        <v>114.0</v>
      </c>
      <c r="B115" s="9">
        <v>0.0</v>
      </c>
      <c r="C115" s="9" t="s">
        <v>54</v>
      </c>
      <c r="D115" s="26">
        <v>167.0</v>
      </c>
      <c r="E115" s="11">
        <v>59.0</v>
      </c>
      <c r="F115" s="9">
        <v>1.0</v>
      </c>
      <c r="G115" s="9" t="s">
        <v>45</v>
      </c>
      <c r="H115" s="11">
        <v>2.0</v>
      </c>
      <c r="I115" s="9">
        <v>3.0</v>
      </c>
      <c r="J115" s="9" t="s">
        <v>46</v>
      </c>
      <c r="K115" s="9">
        <v>0.0</v>
      </c>
      <c r="L115" s="9" t="s">
        <v>47</v>
      </c>
      <c r="M115" s="11">
        <v>5.9</v>
      </c>
      <c r="N115" s="11">
        <v>6.2</v>
      </c>
      <c r="O115" s="9">
        <v>1.0</v>
      </c>
      <c r="P115" s="9" t="s">
        <v>48</v>
      </c>
      <c r="Q115" s="9">
        <v>1.0</v>
      </c>
      <c r="R115" s="9" t="s">
        <v>48</v>
      </c>
      <c r="S115" s="9">
        <v>1.0</v>
      </c>
      <c r="T115" s="9" t="s">
        <v>48</v>
      </c>
      <c r="U115" s="11">
        <v>1.0</v>
      </c>
    </row>
    <row r="116" ht="15.75" customHeight="1">
      <c r="A116" s="8">
        <v>115.0</v>
      </c>
      <c r="B116" s="9">
        <v>1.0</v>
      </c>
      <c r="C116" s="9" t="s">
        <v>44</v>
      </c>
      <c r="D116" s="26">
        <v>170.0</v>
      </c>
      <c r="E116" s="11">
        <v>90.0</v>
      </c>
      <c r="F116" s="9">
        <v>1.0</v>
      </c>
      <c r="G116" s="9" t="s">
        <v>45</v>
      </c>
      <c r="H116" s="11">
        <v>2.0</v>
      </c>
      <c r="I116" s="9">
        <v>0.0</v>
      </c>
      <c r="J116" s="9" t="s">
        <v>50</v>
      </c>
      <c r="K116" s="9">
        <v>1.0</v>
      </c>
      <c r="L116" s="9" t="s">
        <v>51</v>
      </c>
      <c r="M116" s="11">
        <v>6.5</v>
      </c>
      <c r="N116" s="11">
        <v>6.5</v>
      </c>
      <c r="O116" s="9">
        <v>1.0</v>
      </c>
      <c r="P116" s="9" t="s">
        <v>48</v>
      </c>
      <c r="Q116" s="9">
        <v>1.0</v>
      </c>
      <c r="R116" s="9" t="s">
        <v>48</v>
      </c>
      <c r="S116" s="9">
        <v>1.0</v>
      </c>
      <c r="T116" s="9" t="s">
        <v>48</v>
      </c>
      <c r="U116" s="11">
        <v>1.0</v>
      </c>
    </row>
    <row r="117" ht="15.75" customHeight="1">
      <c r="A117" s="8">
        <v>116.0</v>
      </c>
      <c r="B117" s="9">
        <v>1.0</v>
      </c>
      <c r="C117" s="9" t="s">
        <v>44</v>
      </c>
      <c r="D117" s="26">
        <v>168.0</v>
      </c>
      <c r="E117" s="11">
        <v>58.0</v>
      </c>
      <c r="F117" s="9">
        <v>2.0</v>
      </c>
      <c r="G117" s="9" t="s">
        <v>55</v>
      </c>
      <c r="H117" s="11">
        <v>2.0</v>
      </c>
      <c r="I117" s="9">
        <v>0.0</v>
      </c>
      <c r="J117" s="9" t="s">
        <v>50</v>
      </c>
      <c r="K117" s="9">
        <v>1.0</v>
      </c>
      <c r="L117" s="9" t="s">
        <v>51</v>
      </c>
      <c r="M117" s="11">
        <v>6.0</v>
      </c>
      <c r="N117" s="11">
        <v>5.0</v>
      </c>
      <c r="O117" s="9">
        <v>1.0</v>
      </c>
      <c r="P117" s="9" t="s">
        <v>48</v>
      </c>
      <c r="Q117" s="9">
        <v>1.0</v>
      </c>
      <c r="R117" s="9" t="s">
        <v>48</v>
      </c>
      <c r="S117" s="9">
        <v>1.0</v>
      </c>
      <c r="T117" s="9" t="s">
        <v>48</v>
      </c>
      <c r="U117" s="11">
        <v>10.0</v>
      </c>
    </row>
    <row r="118" ht="15.75" customHeight="1">
      <c r="A118" s="8">
        <v>117.0</v>
      </c>
      <c r="B118" s="9">
        <v>0.0</v>
      </c>
      <c r="C118" s="9" t="s">
        <v>54</v>
      </c>
      <c r="D118" s="26">
        <v>169.0</v>
      </c>
      <c r="E118" s="11">
        <v>51.0</v>
      </c>
      <c r="F118" s="9">
        <v>1.0</v>
      </c>
      <c r="G118" s="9" t="s">
        <v>45</v>
      </c>
      <c r="H118" s="11"/>
      <c r="I118" s="9">
        <v>2.0</v>
      </c>
      <c r="J118" s="9" t="s">
        <v>52</v>
      </c>
      <c r="K118" s="9">
        <v>0.0</v>
      </c>
      <c r="L118" s="9" t="s">
        <v>47</v>
      </c>
      <c r="M118" s="11">
        <v>5.8</v>
      </c>
      <c r="N118" s="11">
        <v>5.2</v>
      </c>
      <c r="O118" s="9">
        <v>1.0</v>
      </c>
      <c r="P118" s="9" t="s">
        <v>48</v>
      </c>
      <c r="Q118" s="9">
        <v>1.0</v>
      </c>
      <c r="R118" s="9" t="s">
        <v>48</v>
      </c>
      <c r="S118" s="9">
        <v>1.0</v>
      </c>
      <c r="T118" s="9" t="s">
        <v>48</v>
      </c>
      <c r="U118" s="11">
        <v>10.0</v>
      </c>
    </row>
    <row r="119" ht="15.75" customHeight="1">
      <c r="A119" s="8">
        <v>118.0</v>
      </c>
      <c r="B119" s="9">
        <v>0.0</v>
      </c>
      <c r="C119" s="9" t="s">
        <v>54</v>
      </c>
      <c r="D119" s="26">
        <v>170.0</v>
      </c>
      <c r="E119" s="11">
        <v>70.0</v>
      </c>
      <c r="F119" s="9">
        <v>1.0</v>
      </c>
      <c r="G119" s="9" t="s">
        <v>45</v>
      </c>
      <c r="H119" s="11">
        <v>2.0</v>
      </c>
      <c r="I119" s="9">
        <v>0.0</v>
      </c>
      <c r="J119" s="9" t="s">
        <v>50</v>
      </c>
      <c r="K119" s="9">
        <v>0.0</v>
      </c>
      <c r="L119" s="9" t="s">
        <v>47</v>
      </c>
      <c r="M119" s="11">
        <v>7.5</v>
      </c>
      <c r="N119" s="11">
        <v>10.5</v>
      </c>
      <c r="O119" s="9">
        <v>1.0</v>
      </c>
      <c r="P119" s="9" t="s">
        <v>48</v>
      </c>
      <c r="Q119" s="9">
        <v>1.0</v>
      </c>
      <c r="R119" s="9" t="s">
        <v>48</v>
      </c>
      <c r="S119" s="9">
        <v>1.0</v>
      </c>
      <c r="T119" s="9" t="s">
        <v>48</v>
      </c>
      <c r="U119" s="11">
        <v>70.0</v>
      </c>
    </row>
    <row r="120" ht="15.75" customHeight="1">
      <c r="A120" s="8">
        <v>119.0</v>
      </c>
      <c r="B120" s="9">
        <v>1.0</v>
      </c>
      <c r="C120" s="9" t="s">
        <v>44</v>
      </c>
      <c r="D120" s="26">
        <v>176.0</v>
      </c>
      <c r="E120" s="11">
        <v>75.0</v>
      </c>
      <c r="F120" s="9">
        <v>3.0</v>
      </c>
      <c r="G120" s="9" t="s">
        <v>49</v>
      </c>
      <c r="H120" s="11"/>
      <c r="I120" s="9">
        <v>0.0</v>
      </c>
      <c r="J120" s="9" t="s">
        <v>50</v>
      </c>
      <c r="K120" s="9">
        <v>0.0</v>
      </c>
      <c r="L120" s="9" t="s">
        <v>47</v>
      </c>
      <c r="M120" s="11">
        <v>5.2</v>
      </c>
      <c r="N120" s="11">
        <v>6.3</v>
      </c>
      <c r="O120" s="9">
        <v>1.0</v>
      </c>
      <c r="P120" s="9" t="s">
        <v>48</v>
      </c>
      <c r="Q120" s="9">
        <v>1.0</v>
      </c>
      <c r="R120" s="9" t="s">
        <v>48</v>
      </c>
      <c r="S120" s="9">
        <v>1.0</v>
      </c>
      <c r="T120" s="9" t="s">
        <v>48</v>
      </c>
      <c r="U120" s="11">
        <v>12.0</v>
      </c>
    </row>
    <row r="121" ht="15.75" customHeight="1">
      <c r="A121" s="8">
        <v>120.0</v>
      </c>
      <c r="B121" s="9">
        <v>1.0</v>
      </c>
      <c r="C121" s="9" t="s">
        <v>44</v>
      </c>
      <c r="D121" s="26">
        <v>173.0</v>
      </c>
      <c r="E121" s="11">
        <v>67.0</v>
      </c>
      <c r="F121" s="9">
        <v>2.0</v>
      </c>
      <c r="G121" s="9" t="s">
        <v>55</v>
      </c>
      <c r="H121" s="11">
        <v>2.0</v>
      </c>
      <c r="I121" s="9">
        <v>0.0</v>
      </c>
      <c r="J121" s="9" t="s">
        <v>50</v>
      </c>
      <c r="K121" s="9">
        <v>1.0</v>
      </c>
      <c r="L121" s="9" t="s">
        <v>51</v>
      </c>
      <c r="M121" s="11">
        <v>5.9</v>
      </c>
      <c r="N121" s="11">
        <v>7.4</v>
      </c>
      <c r="O121" s="9">
        <v>0.0</v>
      </c>
      <c r="P121" s="9" t="s">
        <v>53</v>
      </c>
      <c r="Q121" s="9">
        <v>1.0</v>
      </c>
      <c r="R121" s="9" t="s">
        <v>48</v>
      </c>
      <c r="S121" s="9">
        <v>1.0</v>
      </c>
      <c r="T121" s="9" t="s">
        <v>48</v>
      </c>
      <c r="U121" s="11">
        <v>10.0</v>
      </c>
    </row>
    <row r="122" ht="15.75" customHeight="1">
      <c r="A122" s="8">
        <v>121.0</v>
      </c>
      <c r="B122" s="9">
        <v>1.0</v>
      </c>
      <c r="C122" s="9" t="s">
        <v>44</v>
      </c>
      <c r="D122" s="26">
        <v>163.0</v>
      </c>
      <c r="E122" s="11">
        <v>45.0</v>
      </c>
      <c r="F122" s="9">
        <v>2.0</v>
      </c>
      <c r="G122" s="9" t="s">
        <v>55</v>
      </c>
      <c r="H122" s="11">
        <v>5.0</v>
      </c>
      <c r="I122" s="9">
        <v>2.0</v>
      </c>
      <c r="J122" s="9" t="s">
        <v>52</v>
      </c>
      <c r="K122" s="9">
        <v>0.0</v>
      </c>
      <c r="L122" s="9" t="s">
        <v>47</v>
      </c>
      <c r="M122" s="11">
        <v>6.5</v>
      </c>
      <c r="N122" s="11">
        <v>9.0</v>
      </c>
      <c r="O122" s="9">
        <v>1.0</v>
      </c>
      <c r="P122" s="9" t="s">
        <v>48</v>
      </c>
      <c r="Q122" s="9">
        <v>1.0</v>
      </c>
      <c r="R122" s="9" t="s">
        <v>48</v>
      </c>
      <c r="S122" s="9">
        <v>1.0</v>
      </c>
      <c r="T122" s="9" t="s">
        <v>48</v>
      </c>
      <c r="U122" s="11">
        <v>7.0</v>
      </c>
    </row>
    <row r="123" ht="15.75" customHeight="1">
      <c r="A123" s="8">
        <v>122.0</v>
      </c>
      <c r="B123" s="9">
        <v>0.0</v>
      </c>
      <c r="C123" s="9" t="s">
        <v>54</v>
      </c>
      <c r="D123" s="26">
        <v>162.0</v>
      </c>
      <c r="E123" s="11">
        <v>47.0</v>
      </c>
      <c r="F123" s="9">
        <v>1.0</v>
      </c>
      <c r="G123" s="9" t="s">
        <v>45</v>
      </c>
      <c r="H123" s="11">
        <v>1.0</v>
      </c>
      <c r="I123" s="9">
        <v>0.0</v>
      </c>
      <c r="J123" s="9" t="s">
        <v>50</v>
      </c>
      <c r="K123" s="9">
        <v>1.0</v>
      </c>
      <c r="L123" s="9" t="s">
        <v>51</v>
      </c>
      <c r="M123" s="11">
        <v>6.0</v>
      </c>
      <c r="N123" s="11">
        <v>7.0</v>
      </c>
      <c r="O123" s="9">
        <v>1.0</v>
      </c>
      <c r="P123" s="9" t="s">
        <v>48</v>
      </c>
      <c r="Q123" s="9">
        <v>1.0</v>
      </c>
      <c r="R123" s="9" t="s">
        <v>48</v>
      </c>
      <c r="S123" s="9">
        <v>1.0</v>
      </c>
      <c r="T123" s="9" t="s">
        <v>48</v>
      </c>
      <c r="U123" s="11">
        <v>5.0</v>
      </c>
    </row>
    <row r="124" ht="15.75" customHeight="1">
      <c r="A124" s="8">
        <v>123.0</v>
      </c>
      <c r="B124" s="9">
        <v>0.0</v>
      </c>
      <c r="C124" s="9" t="s">
        <v>54</v>
      </c>
      <c r="D124" s="26">
        <v>150.0</v>
      </c>
      <c r="E124" s="11">
        <v>50.0</v>
      </c>
      <c r="F124" s="9">
        <v>1.0</v>
      </c>
      <c r="G124" s="9" t="s">
        <v>45</v>
      </c>
      <c r="H124" s="11">
        <v>3.0</v>
      </c>
      <c r="I124" s="9">
        <v>2.0</v>
      </c>
      <c r="J124" s="9" t="s">
        <v>52</v>
      </c>
      <c r="K124" s="9">
        <v>1.0</v>
      </c>
      <c r="L124" s="9" t="s">
        <v>51</v>
      </c>
      <c r="M124" s="11">
        <v>7.0</v>
      </c>
      <c r="N124" s="11">
        <v>8.0</v>
      </c>
      <c r="O124" s="9">
        <v>1.0</v>
      </c>
      <c r="P124" s="9" t="s">
        <v>48</v>
      </c>
      <c r="Q124" s="9">
        <v>1.0</v>
      </c>
      <c r="R124" s="9" t="s">
        <v>48</v>
      </c>
      <c r="S124" s="9">
        <v>1.0</v>
      </c>
      <c r="T124" s="9" t="s">
        <v>48</v>
      </c>
      <c r="U124" s="11">
        <v>0.0</v>
      </c>
    </row>
    <row r="125" ht="15.75" customHeight="1">
      <c r="A125" s="8">
        <v>124.0</v>
      </c>
      <c r="B125" s="27"/>
      <c r="C125" s="27"/>
      <c r="D125" s="26">
        <v>175.0</v>
      </c>
      <c r="E125" s="11">
        <v>72.0</v>
      </c>
      <c r="F125" s="9">
        <v>3.0</v>
      </c>
      <c r="G125" s="9" t="s">
        <v>49</v>
      </c>
      <c r="H125" s="11">
        <v>2.0</v>
      </c>
      <c r="I125" s="9">
        <v>3.0</v>
      </c>
      <c r="J125" s="9" t="s">
        <v>46</v>
      </c>
      <c r="K125" s="9">
        <v>0.0</v>
      </c>
      <c r="L125" s="9" t="s">
        <v>47</v>
      </c>
      <c r="M125" s="11">
        <v>8.0</v>
      </c>
      <c r="N125" s="11">
        <v>9.0</v>
      </c>
      <c r="O125" s="9">
        <v>1.0</v>
      </c>
      <c r="P125" s="9" t="s">
        <v>48</v>
      </c>
      <c r="Q125" s="9">
        <v>1.0</v>
      </c>
      <c r="R125" s="9" t="s">
        <v>48</v>
      </c>
      <c r="S125" s="9">
        <v>1.0</v>
      </c>
      <c r="T125" s="9" t="s">
        <v>48</v>
      </c>
      <c r="U125" s="11">
        <v>5.0</v>
      </c>
    </row>
    <row r="126" ht="15.75" customHeight="1">
      <c r="A126" s="8">
        <v>125.0</v>
      </c>
      <c r="B126" s="9">
        <v>1.0</v>
      </c>
      <c r="C126" s="9" t="s">
        <v>44</v>
      </c>
      <c r="D126" s="26">
        <v>183.0</v>
      </c>
      <c r="E126" s="11">
        <v>65.0</v>
      </c>
      <c r="F126" s="9">
        <v>2.0</v>
      </c>
      <c r="G126" s="9" t="s">
        <v>55</v>
      </c>
      <c r="H126" s="11">
        <v>1.0</v>
      </c>
      <c r="I126" s="9">
        <v>3.0</v>
      </c>
      <c r="J126" s="9" t="s">
        <v>46</v>
      </c>
      <c r="K126" s="9">
        <v>0.0</v>
      </c>
      <c r="L126" s="9" t="s">
        <v>47</v>
      </c>
      <c r="M126" s="11">
        <v>6.0</v>
      </c>
      <c r="N126" s="11">
        <v>4.0</v>
      </c>
      <c r="O126" s="9">
        <v>1.0</v>
      </c>
      <c r="P126" s="9" t="s">
        <v>48</v>
      </c>
      <c r="Q126" s="9">
        <v>0.0</v>
      </c>
      <c r="R126" s="9" t="s">
        <v>53</v>
      </c>
      <c r="S126" s="9">
        <v>1.0</v>
      </c>
      <c r="T126" s="9" t="s">
        <v>48</v>
      </c>
      <c r="U126" s="11">
        <v>10.0</v>
      </c>
    </row>
    <row r="127" ht="15.75" customHeight="1">
      <c r="A127" s="8">
        <v>126.0</v>
      </c>
      <c r="B127" s="9">
        <v>1.0</v>
      </c>
      <c r="C127" s="9" t="s">
        <v>44</v>
      </c>
      <c r="D127" s="26">
        <v>167.0</v>
      </c>
      <c r="E127" s="11">
        <v>65.0</v>
      </c>
      <c r="F127" s="9">
        <v>2.0</v>
      </c>
      <c r="G127" s="9" t="s">
        <v>55</v>
      </c>
      <c r="H127" s="11">
        <v>2.0</v>
      </c>
      <c r="I127" s="9">
        <v>2.0</v>
      </c>
      <c r="J127" s="9" t="s">
        <v>52</v>
      </c>
      <c r="K127" s="9">
        <v>0.0</v>
      </c>
      <c r="L127" s="9" t="s">
        <v>47</v>
      </c>
      <c r="M127" s="11">
        <v>6.0</v>
      </c>
      <c r="N127" s="11">
        <v>7.0</v>
      </c>
      <c r="O127" s="9">
        <v>1.0</v>
      </c>
      <c r="P127" s="9" t="s">
        <v>48</v>
      </c>
      <c r="Q127" s="9">
        <v>1.0</v>
      </c>
      <c r="R127" s="9" t="s">
        <v>48</v>
      </c>
      <c r="S127" s="9">
        <v>1.0</v>
      </c>
      <c r="T127" s="9" t="s">
        <v>48</v>
      </c>
      <c r="U127" s="11">
        <v>10.0</v>
      </c>
    </row>
    <row r="128" ht="15.75" customHeight="1">
      <c r="A128" s="8">
        <v>127.0</v>
      </c>
      <c r="B128" s="9">
        <v>0.0</v>
      </c>
      <c r="C128" s="9" t="s">
        <v>54</v>
      </c>
      <c r="D128" s="26">
        <v>170.0</v>
      </c>
      <c r="E128" s="11">
        <v>58.0</v>
      </c>
      <c r="F128" s="9">
        <v>0.0</v>
      </c>
      <c r="G128" s="9" t="s">
        <v>58</v>
      </c>
      <c r="H128" s="11">
        <v>2.0</v>
      </c>
      <c r="I128" s="9">
        <v>3.0</v>
      </c>
      <c r="J128" s="9" t="s">
        <v>46</v>
      </c>
      <c r="K128" s="9">
        <v>0.0</v>
      </c>
      <c r="L128" s="9" t="s">
        <v>47</v>
      </c>
      <c r="M128" s="11">
        <v>6.12</v>
      </c>
      <c r="N128" s="11">
        <v>9.3</v>
      </c>
      <c r="O128" s="9">
        <v>1.0</v>
      </c>
      <c r="P128" s="9" t="s">
        <v>48</v>
      </c>
      <c r="Q128" s="9">
        <v>1.0</v>
      </c>
      <c r="R128" s="9" t="s">
        <v>48</v>
      </c>
      <c r="S128" s="9">
        <v>1.0</v>
      </c>
      <c r="T128" s="9" t="s">
        <v>48</v>
      </c>
      <c r="U128" s="11">
        <v>14.0</v>
      </c>
    </row>
    <row r="129" ht="15.75" customHeight="1">
      <c r="A129" s="8">
        <v>128.0</v>
      </c>
      <c r="B129" s="9">
        <v>1.0</v>
      </c>
      <c r="C129" s="9" t="s">
        <v>44</v>
      </c>
      <c r="D129" s="26">
        <v>181.0</v>
      </c>
      <c r="E129" s="11">
        <v>78.0</v>
      </c>
      <c r="F129" s="9">
        <v>3.0</v>
      </c>
      <c r="G129" s="9" t="s">
        <v>49</v>
      </c>
      <c r="H129" s="11">
        <v>2.0</v>
      </c>
      <c r="I129" s="9">
        <v>2.0</v>
      </c>
      <c r="J129" s="9" t="s">
        <v>52</v>
      </c>
      <c r="K129" s="9">
        <v>0.0</v>
      </c>
      <c r="L129" s="9" t="s">
        <v>47</v>
      </c>
      <c r="M129" s="11">
        <v>7.0</v>
      </c>
      <c r="N129" s="11">
        <v>5.0</v>
      </c>
      <c r="O129" s="9">
        <v>1.0</v>
      </c>
      <c r="P129" s="9" t="s">
        <v>48</v>
      </c>
      <c r="Q129" s="9">
        <v>0.0</v>
      </c>
      <c r="R129" s="9" t="s">
        <v>53</v>
      </c>
      <c r="S129" s="9">
        <v>1.0</v>
      </c>
      <c r="T129" s="9" t="s">
        <v>48</v>
      </c>
      <c r="U129" s="11">
        <v>4.0</v>
      </c>
    </row>
    <row r="130" ht="15.75" customHeight="1">
      <c r="A130" s="8">
        <v>129.0</v>
      </c>
      <c r="B130" s="9">
        <v>0.0</v>
      </c>
      <c r="C130" s="9" t="s">
        <v>54</v>
      </c>
      <c r="D130" s="26">
        <v>169.0</v>
      </c>
      <c r="E130" s="11">
        <v>57.0</v>
      </c>
      <c r="F130" s="9">
        <v>0.0</v>
      </c>
      <c r="G130" s="9" t="s">
        <v>58</v>
      </c>
      <c r="H130" s="11">
        <v>1.0</v>
      </c>
      <c r="I130" s="9">
        <v>3.0</v>
      </c>
      <c r="J130" s="9" t="s">
        <v>46</v>
      </c>
      <c r="K130" s="9">
        <v>0.0</v>
      </c>
      <c r="L130" s="9" t="s">
        <v>47</v>
      </c>
      <c r="M130" s="11">
        <v>5.7</v>
      </c>
      <c r="N130" s="11">
        <v>7.5</v>
      </c>
      <c r="O130" s="9">
        <v>1.0</v>
      </c>
      <c r="P130" s="9" t="s">
        <v>48</v>
      </c>
      <c r="Q130" s="9">
        <v>1.0</v>
      </c>
      <c r="R130" s="9" t="s">
        <v>48</v>
      </c>
      <c r="S130" s="9">
        <v>1.0</v>
      </c>
      <c r="T130" s="9" t="s">
        <v>48</v>
      </c>
      <c r="U130" s="11">
        <v>70.0</v>
      </c>
    </row>
    <row r="131" ht="15.75" customHeight="1">
      <c r="A131" s="8">
        <v>130.0</v>
      </c>
      <c r="B131" s="9">
        <v>0.0</v>
      </c>
      <c r="C131" s="9" t="s">
        <v>54</v>
      </c>
      <c r="D131" s="26">
        <v>172.0</v>
      </c>
      <c r="E131" s="11">
        <v>52.0</v>
      </c>
      <c r="F131" s="9">
        <v>0.0</v>
      </c>
      <c r="G131" s="9" t="s">
        <v>58</v>
      </c>
      <c r="H131" s="11">
        <v>6.0</v>
      </c>
      <c r="I131" s="9">
        <v>3.0</v>
      </c>
      <c r="J131" s="9" t="s">
        <v>46</v>
      </c>
      <c r="K131" s="9">
        <v>0.0</v>
      </c>
      <c r="L131" s="9" t="s">
        <v>47</v>
      </c>
      <c r="M131" s="11">
        <v>6.0</v>
      </c>
      <c r="N131" s="11">
        <v>5.2</v>
      </c>
      <c r="O131" s="9">
        <v>1.0</v>
      </c>
      <c r="P131" s="9" t="s">
        <v>48</v>
      </c>
      <c r="Q131" s="9">
        <v>1.0</v>
      </c>
      <c r="R131" s="9" t="s">
        <v>48</v>
      </c>
      <c r="S131" s="9">
        <v>1.0</v>
      </c>
      <c r="T131" s="9" t="s">
        <v>48</v>
      </c>
      <c r="U131" s="11">
        <v>70.0</v>
      </c>
    </row>
    <row r="132" ht="15.75" customHeight="1">
      <c r="A132" s="8">
        <v>131.0</v>
      </c>
      <c r="B132" s="9">
        <v>0.0</v>
      </c>
      <c r="C132" s="9" t="s">
        <v>54</v>
      </c>
      <c r="D132" s="26">
        <v>160.0</v>
      </c>
      <c r="E132" s="11">
        <v>48.0</v>
      </c>
      <c r="F132" s="9">
        <v>2.0</v>
      </c>
      <c r="G132" s="9" t="s">
        <v>55</v>
      </c>
      <c r="H132" s="11">
        <v>3.0</v>
      </c>
      <c r="I132" s="9">
        <v>0.0</v>
      </c>
      <c r="J132" s="9" t="s">
        <v>50</v>
      </c>
      <c r="K132" s="9">
        <v>1.0</v>
      </c>
      <c r="L132" s="9" t="s">
        <v>51</v>
      </c>
      <c r="M132" s="11">
        <v>7.5</v>
      </c>
      <c r="N132" s="11">
        <v>8.2</v>
      </c>
      <c r="O132" s="9">
        <v>1.0</v>
      </c>
      <c r="P132" s="9" t="s">
        <v>48</v>
      </c>
      <c r="Q132" s="27"/>
      <c r="R132" s="27"/>
      <c r="S132" s="9">
        <v>1.0</v>
      </c>
      <c r="T132" s="9" t="s">
        <v>48</v>
      </c>
      <c r="U132" s="11">
        <v>10.0</v>
      </c>
    </row>
    <row r="133" ht="15.75" customHeight="1">
      <c r="A133" s="8">
        <v>132.0</v>
      </c>
      <c r="B133" s="9">
        <v>0.0</v>
      </c>
      <c r="C133" s="9" t="s">
        <v>54</v>
      </c>
      <c r="D133" s="26">
        <v>173.0</v>
      </c>
      <c r="E133" s="11">
        <v>62.0</v>
      </c>
      <c r="F133" s="9">
        <v>0.0</v>
      </c>
      <c r="G133" s="9" t="s">
        <v>58</v>
      </c>
      <c r="H133" s="11">
        <v>2.0</v>
      </c>
      <c r="I133" s="9">
        <v>0.0</v>
      </c>
      <c r="J133" s="9" t="s">
        <v>50</v>
      </c>
      <c r="K133" s="9">
        <v>1.0</v>
      </c>
      <c r="L133" s="9" t="s">
        <v>51</v>
      </c>
      <c r="M133" s="11">
        <v>7.6</v>
      </c>
      <c r="N133" s="11">
        <v>10.47</v>
      </c>
      <c r="O133" s="9">
        <v>1.0</v>
      </c>
      <c r="P133" s="9" t="s">
        <v>48</v>
      </c>
      <c r="Q133" s="9">
        <v>1.0</v>
      </c>
      <c r="R133" s="9" t="s">
        <v>48</v>
      </c>
      <c r="S133" s="9">
        <v>1.0</v>
      </c>
      <c r="T133" s="9" t="s">
        <v>48</v>
      </c>
      <c r="U133" s="11">
        <v>68.0</v>
      </c>
    </row>
    <row r="134" ht="15.75" customHeight="1">
      <c r="A134" s="8">
        <v>133.0</v>
      </c>
      <c r="B134" s="9">
        <v>1.0</v>
      </c>
      <c r="C134" s="9" t="s">
        <v>44</v>
      </c>
      <c r="D134" s="26">
        <v>182.0</v>
      </c>
      <c r="E134" s="11">
        <v>64.0</v>
      </c>
      <c r="F134" s="9">
        <v>2.0</v>
      </c>
      <c r="G134" s="9" t="s">
        <v>55</v>
      </c>
      <c r="H134" s="11">
        <v>1.0</v>
      </c>
      <c r="I134" s="9">
        <v>0.0</v>
      </c>
      <c r="J134" s="9" t="s">
        <v>50</v>
      </c>
      <c r="K134" s="9">
        <v>0.0</v>
      </c>
      <c r="L134" s="9" t="s">
        <v>47</v>
      </c>
      <c r="M134" s="11">
        <v>6.5</v>
      </c>
      <c r="N134" s="11">
        <v>8.01</v>
      </c>
      <c r="O134" s="9">
        <v>1.0</v>
      </c>
      <c r="P134" s="9" t="s">
        <v>48</v>
      </c>
      <c r="Q134" s="9">
        <v>1.0</v>
      </c>
      <c r="R134" s="9" t="s">
        <v>48</v>
      </c>
      <c r="S134" s="9">
        <v>0.0</v>
      </c>
      <c r="T134" s="9" t="s">
        <v>53</v>
      </c>
      <c r="U134" s="11">
        <v>0.0</v>
      </c>
    </row>
    <row r="135" ht="15.75" customHeight="1">
      <c r="A135" s="8">
        <v>134.0</v>
      </c>
      <c r="B135" s="9">
        <v>0.0</v>
      </c>
      <c r="C135" s="9" t="s">
        <v>54</v>
      </c>
      <c r="D135" s="26">
        <v>168.0</v>
      </c>
      <c r="E135" s="11">
        <v>58.0</v>
      </c>
      <c r="F135" s="9">
        <v>1.0</v>
      </c>
      <c r="G135" s="9" t="s">
        <v>45</v>
      </c>
      <c r="H135" s="11">
        <v>3.0</v>
      </c>
      <c r="I135" s="9">
        <v>1.0</v>
      </c>
      <c r="J135" s="9" t="s">
        <v>57</v>
      </c>
      <c r="K135" s="9">
        <v>0.0</v>
      </c>
      <c r="L135" s="9" t="s">
        <v>47</v>
      </c>
      <c r="M135" s="11">
        <v>5.3</v>
      </c>
      <c r="N135" s="11">
        <v>6.2</v>
      </c>
      <c r="O135" s="9">
        <v>1.0</v>
      </c>
      <c r="P135" s="9" t="s">
        <v>48</v>
      </c>
      <c r="Q135" s="9">
        <v>1.0</v>
      </c>
      <c r="R135" s="9" t="s">
        <v>48</v>
      </c>
      <c r="S135" s="9">
        <v>1.0</v>
      </c>
      <c r="T135" s="9" t="s">
        <v>48</v>
      </c>
      <c r="U135" s="11">
        <v>5.0</v>
      </c>
    </row>
    <row r="136" ht="15.75" customHeight="1">
      <c r="A136" s="8">
        <v>135.0</v>
      </c>
      <c r="B136" s="9">
        <v>0.0</v>
      </c>
      <c r="C136" s="9" t="s">
        <v>54</v>
      </c>
      <c r="D136" s="26">
        <v>163.0</v>
      </c>
      <c r="E136" s="11">
        <v>62.0</v>
      </c>
      <c r="F136" s="9">
        <v>1.0</v>
      </c>
      <c r="G136" s="9" t="s">
        <v>45</v>
      </c>
      <c r="H136" s="11">
        <v>2.0</v>
      </c>
      <c r="I136" s="9">
        <v>1.0</v>
      </c>
      <c r="J136" s="9" t="s">
        <v>57</v>
      </c>
      <c r="K136" s="9">
        <v>0.0</v>
      </c>
      <c r="L136" s="9" t="s">
        <v>47</v>
      </c>
      <c r="M136" s="11">
        <v>8.0</v>
      </c>
      <c r="N136" s="11">
        <v>10.5</v>
      </c>
      <c r="O136" s="9">
        <v>1.0</v>
      </c>
      <c r="P136" s="9" t="s">
        <v>48</v>
      </c>
      <c r="Q136" s="9">
        <v>1.0</v>
      </c>
      <c r="R136" s="9" t="s">
        <v>48</v>
      </c>
      <c r="S136" s="9">
        <v>1.0</v>
      </c>
      <c r="T136" s="9" t="s">
        <v>48</v>
      </c>
      <c r="U136" s="11">
        <v>65.0</v>
      </c>
    </row>
    <row r="137" ht="15.75" customHeight="1">
      <c r="A137" s="8">
        <v>136.0</v>
      </c>
      <c r="B137" s="9">
        <v>0.0</v>
      </c>
      <c r="C137" s="9" t="s">
        <v>54</v>
      </c>
      <c r="D137" s="23">
        <v>160.0</v>
      </c>
      <c r="E137" s="11">
        <v>53.0</v>
      </c>
      <c r="F137" s="9">
        <v>1.0</v>
      </c>
      <c r="G137" s="9" t="s">
        <v>45</v>
      </c>
      <c r="H137" s="11">
        <v>2.0</v>
      </c>
      <c r="I137" s="9">
        <v>1.0</v>
      </c>
      <c r="J137" s="9" t="s">
        <v>57</v>
      </c>
      <c r="K137" s="9">
        <v>1.0</v>
      </c>
      <c r="L137" s="9" t="s">
        <v>51</v>
      </c>
      <c r="M137" s="11">
        <v>5.3</v>
      </c>
      <c r="N137" s="11">
        <v>5.7</v>
      </c>
      <c r="O137" s="9">
        <v>1.0</v>
      </c>
      <c r="P137" s="9" t="s">
        <v>48</v>
      </c>
      <c r="Q137" s="9">
        <v>1.0</v>
      </c>
      <c r="R137" s="9" t="s">
        <v>48</v>
      </c>
      <c r="S137" s="9">
        <v>1.0</v>
      </c>
      <c r="T137" s="9" t="s">
        <v>48</v>
      </c>
      <c r="U137" s="11">
        <v>50.0</v>
      </c>
    </row>
    <row r="138" ht="15.75" customHeight="1">
      <c r="A138" s="8">
        <v>137.0</v>
      </c>
      <c r="B138" s="9">
        <v>1.0</v>
      </c>
      <c r="C138" s="9" t="s">
        <v>44</v>
      </c>
      <c r="D138" s="26">
        <v>180.0</v>
      </c>
      <c r="E138" s="11">
        <v>75.0</v>
      </c>
      <c r="F138" s="9">
        <v>3.0</v>
      </c>
      <c r="G138" s="9" t="s">
        <v>49</v>
      </c>
      <c r="H138" s="11"/>
      <c r="I138" s="9">
        <v>0.0</v>
      </c>
      <c r="J138" s="9" t="s">
        <v>50</v>
      </c>
      <c r="K138" s="9">
        <v>0.0</v>
      </c>
      <c r="L138" s="9" t="s">
        <v>47</v>
      </c>
      <c r="M138" s="11">
        <v>7.0</v>
      </c>
      <c r="N138" s="11">
        <v>7.9</v>
      </c>
      <c r="O138" s="9">
        <v>1.0</v>
      </c>
      <c r="P138" s="9" t="s">
        <v>48</v>
      </c>
      <c r="Q138" s="9">
        <v>1.0</v>
      </c>
      <c r="R138" s="9" t="s">
        <v>48</v>
      </c>
      <c r="S138" s="9">
        <v>1.0</v>
      </c>
      <c r="T138" s="9" t="s">
        <v>48</v>
      </c>
      <c r="U138" s="11">
        <v>12.0</v>
      </c>
    </row>
    <row r="139" ht="15.75" customHeight="1">
      <c r="A139" s="8">
        <v>138.0</v>
      </c>
      <c r="B139" s="9">
        <v>1.0</v>
      </c>
      <c r="C139" s="9" t="s">
        <v>44</v>
      </c>
      <c r="D139" s="26">
        <v>177.0</v>
      </c>
      <c r="E139" s="11">
        <v>80.0</v>
      </c>
      <c r="F139" s="9">
        <v>2.0</v>
      </c>
      <c r="G139" s="9" t="s">
        <v>55</v>
      </c>
      <c r="H139" s="11"/>
      <c r="I139" s="9">
        <v>0.0</v>
      </c>
      <c r="J139" s="9" t="s">
        <v>50</v>
      </c>
      <c r="K139" s="9">
        <v>0.0</v>
      </c>
      <c r="L139" s="9" t="s">
        <v>47</v>
      </c>
      <c r="M139" s="11">
        <v>6.3</v>
      </c>
      <c r="N139" s="11">
        <v>5.85</v>
      </c>
      <c r="O139" s="9">
        <v>1.0</v>
      </c>
      <c r="P139" s="9" t="s">
        <v>48</v>
      </c>
      <c r="Q139" s="9">
        <v>1.0</v>
      </c>
      <c r="R139" s="9" t="s">
        <v>48</v>
      </c>
      <c r="S139" s="9">
        <v>1.0</v>
      </c>
      <c r="T139" s="9" t="s">
        <v>48</v>
      </c>
      <c r="U139" s="11">
        <v>13.0</v>
      </c>
    </row>
    <row r="140" ht="15.75" customHeight="1">
      <c r="A140" s="8">
        <v>139.0</v>
      </c>
      <c r="B140" s="9">
        <v>1.0</v>
      </c>
      <c r="C140" s="9" t="s">
        <v>44</v>
      </c>
      <c r="D140" s="26">
        <v>174.0</v>
      </c>
      <c r="E140" s="11">
        <v>80.0</v>
      </c>
      <c r="F140" s="9">
        <v>2.0</v>
      </c>
      <c r="G140" s="9" t="s">
        <v>55</v>
      </c>
      <c r="H140" s="11">
        <v>3.0</v>
      </c>
      <c r="I140" s="9">
        <v>0.0</v>
      </c>
      <c r="J140" s="9" t="s">
        <v>50</v>
      </c>
      <c r="K140" s="9">
        <v>0.0</v>
      </c>
      <c r="L140" s="9" t="s">
        <v>47</v>
      </c>
      <c r="M140" s="11">
        <v>6.0</v>
      </c>
      <c r="N140" s="11">
        <v>6.0</v>
      </c>
      <c r="O140" s="9">
        <v>1.0</v>
      </c>
      <c r="P140" s="9" t="s">
        <v>48</v>
      </c>
      <c r="Q140" s="9">
        <v>1.0</v>
      </c>
      <c r="R140" s="9" t="s">
        <v>48</v>
      </c>
      <c r="S140" s="9">
        <v>1.0</v>
      </c>
      <c r="T140" s="9" t="s">
        <v>48</v>
      </c>
      <c r="U140" s="11">
        <v>2.0</v>
      </c>
    </row>
    <row r="141" ht="15.75" customHeight="1">
      <c r="A141" s="8">
        <v>140.0</v>
      </c>
      <c r="B141" s="9">
        <v>0.0</v>
      </c>
      <c r="C141" s="9" t="s">
        <v>54</v>
      </c>
      <c r="D141" s="26">
        <v>160.0</v>
      </c>
      <c r="E141" s="11">
        <v>50.0</v>
      </c>
      <c r="F141" s="9">
        <v>1.0</v>
      </c>
      <c r="G141" s="9" t="s">
        <v>45</v>
      </c>
      <c r="H141" s="11">
        <v>2.0</v>
      </c>
      <c r="I141" s="9">
        <v>3.0</v>
      </c>
      <c r="J141" s="9" t="s">
        <v>46</v>
      </c>
      <c r="K141" s="9">
        <v>0.0</v>
      </c>
      <c r="L141" s="9" t="s">
        <v>47</v>
      </c>
      <c r="M141" s="11">
        <v>5.41</v>
      </c>
      <c r="N141" s="11">
        <v>5.2</v>
      </c>
      <c r="O141" s="9">
        <v>1.0</v>
      </c>
      <c r="P141" s="9" t="s">
        <v>48</v>
      </c>
      <c r="Q141" s="9">
        <v>1.0</v>
      </c>
      <c r="R141" s="9" t="s">
        <v>48</v>
      </c>
      <c r="S141" s="9">
        <v>1.0</v>
      </c>
      <c r="T141" s="9" t="s">
        <v>48</v>
      </c>
      <c r="U141" s="11">
        <v>6.0</v>
      </c>
    </row>
    <row r="142" ht="15.75" customHeight="1">
      <c r="A142" s="8">
        <v>141.0</v>
      </c>
      <c r="B142" s="9">
        <v>0.0</v>
      </c>
      <c r="C142" s="9" t="s">
        <v>54</v>
      </c>
      <c r="D142" s="26">
        <v>160.0</v>
      </c>
      <c r="E142" s="11">
        <v>52.0</v>
      </c>
      <c r="F142" s="9">
        <v>1.0</v>
      </c>
      <c r="G142" s="9" t="s">
        <v>45</v>
      </c>
      <c r="H142" s="11">
        <v>1.0</v>
      </c>
      <c r="I142" s="9">
        <v>0.0</v>
      </c>
      <c r="J142" s="9" t="s">
        <v>50</v>
      </c>
      <c r="K142" s="9">
        <v>0.0</v>
      </c>
      <c r="L142" s="9" t="s">
        <v>47</v>
      </c>
      <c r="M142" s="11">
        <v>5.6</v>
      </c>
      <c r="N142" s="11">
        <v>6.0</v>
      </c>
      <c r="O142" s="9">
        <v>1.0</v>
      </c>
      <c r="P142" s="9" t="s">
        <v>48</v>
      </c>
      <c r="Q142" s="9">
        <v>1.0</v>
      </c>
      <c r="R142" s="9" t="s">
        <v>48</v>
      </c>
      <c r="S142" s="9">
        <v>1.0</v>
      </c>
      <c r="T142" s="9" t="s">
        <v>48</v>
      </c>
      <c r="U142" s="11">
        <v>6.0</v>
      </c>
    </row>
    <row r="143" ht="15.75" customHeight="1">
      <c r="A143" s="8">
        <v>142.0</v>
      </c>
      <c r="B143" s="9">
        <v>1.0</v>
      </c>
      <c r="C143" s="9" t="s">
        <v>44</v>
      </c>
      <c r="D143" s="26">
        <v>190.0</v>
      </c>
      <c r="E143" s="11">
        <v>85.0</v>
      </c>
      <c r="F143" s="9">
        <v>1.0</v>
      </c>
      <c r="G143" s="9" t="s">
        <v>45</v>
      </c>
      <c r="H143" s="11">
        <v>2.0</v>
      </c>
      <c r="I143" s="9">
        <v>3.0</v>
      </c>
      <c r="J143" s="9" t="s">
        <v>46</v>
      </c>
      <c r="K143" s="9">
        <v>0.0</v>
      </c>
      <c r="L143" s="9" t="s">
        <v>47</v>
      </c>
      <c r="M143" s="11">
        <v>6.0</v>
      </c>
      <c r="N143" s="11">
        <v>8.0</v>
      </c>
      <c r="O143" s="9">
        <v>1.0</v>
      </c>
      <c r="P143" s="9" t="s">
        <v>48</v>
      </c>
      <c r="Q143" s="9">
        <v>1.0</v>
      </c>
      <c r="R143" s="9" t="s">
        <v>48</v>
      </c>
      <c r="S143" s="9">
        <v>1.0</v>
      </c>
      <c r="T143" s="9" t="s">
        <v>48</v>
      </c>
      <c r="U143" s="11">
        <v>2.0</v>
      </c>
    </row>
    <row r="144" ht="15.75" customHeight="1">
      <c r="A144" s="15" t="s">
        <v>64</v>
      </c>
      <c r="B144" s="16">
        <v>0.0</v>
      </c>
      <c r="C144" s="16">
        <v>0.0</v>
      </c>
      <c r="D144" s="17">
        <v>3.0</v>
      </c>
      <c r="E144" s="18">
        <v>5.0</v>
      </c>
      <c r="F144" s="18"/>
      <c r="G144" s="18">
        <v>0.0</v>
      </c>
      <c r="H144" s="18">
        <f>'Datos '!F144</f>
        <v>15</v>
      </c>
      <c r="I144" s="18"/>
      <c r="J144" s="18">
        <v>0.0</v>
      </c>
      <c r="K144" s="18"/>
      <c r="L144" s="18">
        <v>0.0</v>
      </c>
      <c r="M144" s="18">
        <v>6.0</v>
      </c>
      <c r="N144" s="18">
        <v>11.0</v>
      </c>
      <c r="O144" s="18"/>
      <c r="P144" s="18">
        <v>0.0</v>
      </c>
      <c r="Q144" s="18"/>
      <c r="R144" s="18">
        <v>0.0</v>
      </c>
      <c r="S144" s="18"/>
      <c r="T144" s="18">
        <v>0.0</v>
      </c>
      <c r="U144" s="18">
        <v>6.0</v>
      </c>
    </row>
    <row r="145" ht="15.75" customHeight="1">
      <c r="A145" s="22" t="s">
        <v>61</v>
      </c>
      <c r="B145" s="13">
        <v>3.0</v>
      </c>
      <c r="C145" s="13">
        <v>3.0</v>
      </c>
      <c r="D145" s="13">
        <v>0.0</v>
      </c>
      <c r="E145" s="13">
        <v>0.0</v>
      </c>
      <c r="F145" s="13"/>
      <c r="G145" s="13">
        <v>2.0</v>
      </c>
      <c r="H145" s="13">
        <v>0.0</v>
      </c>
      <c r="I145" s="13"/>
      <c r="J145" s="13">
        <v>3.0</v>
      </c>
      <c r="K145" s="13"/>
      <c r="L145" s="13">
        <v>3.0</v>
      </c>
      <c r="M145" s="13">
        <v>0.0</v>
      </c>
      <c r="N145" s="13">
        <v>0.0</v>
      </c>
      <c r="O145" s="13"/>
      <c r="P145" s="13">
        <v>4.0</v>
      </c>
      <c r="Q145" s="13"/>
      <c r="R145" s="13">
        <v>4.0</v>
      </c>
      <c r="S145" s="13"/>
      <c r="T145" s="13">
        <v>3.0</v>
      </c>
      <c r="U145" s="13">
        <v>0.0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1.29"/>
    <col customWidth="1" min="3" max="3" width="12.86"/>
    <col customWidth="1" min="4" max="4" width="16.71"/>
    <col customWidth="1" min="5" max="6" width="10.71"/>
    <col customWidth="1" min="7" max="7" width="16.57"/>
    <col customWidth="1" min="8" max="26" width="10.71"/>
  </cols>
  <sheetData>
    <row r="4">
      <c r="B4" s="28" t="s">
        <v>65</v>
      </c>
      <c r="C4" s="29" t="s">
        <v>66</v>
      </c>
      <c r="D4" s="29" t="s">
        <v>67</v>
      </c>
      <c r="E4" s="29" t="s">
        <v>68</v>
      </c>
      <c r="F4" s="29" t="s">
        <v>69</v>
      </c>
    </row>
    <row r="5">
      <c r="B5" s="30" t="s">
        <v>50</v>
      </c>
      <c r="C5" s="31">
        <v>0.0</v>
      </c>
      <c r="D5" s="32">
        <f>COUNTIF('Datos depurados'!I:I,0)</f>
        <v>79</v>
      </c>
      <c r="E5" s="32">
        <f t="shared" ref="E5:E8" si="1">D5/$D$9</f>
        <v>0.5683453237</v>
      </c>
      <c r="F5" s="33">
        <f t="shared" ref="F5:F8" si="2">E5</f>
        <v>0.5683453237</v>
      </c>
    </row>
    <row r="6">
      <c r="B6" s="30" t="s">
        <v>57</v>
      </c>
      <c r="C6" s="31">
        <v>1.0</v>
      </c>
      <c r="D6" s="32">
        <f>COUNTIF('Datos depurados'!I:I,1)</f>
        <v>15</v>
      </c>
      <c r="E6" s="32">
        <f t="shared" si="1"/>
        <v>0.1079136691</v>
      </c>
      <c r="F6" s="33">
        <f t="shared" si="2"/>
        <v>0.1079136691</v>
      </c>
    </row>
    <row r="7">
      <c r="B7" s="30" t="s">
        <v>52</v>
      </c>
      <c r="C7" s="31">
        <v>2.0</v>
      </c>
      <c r="D7" s="32">
        <f>COUNTIF('Datos depurados'!I:I,2)</f>
        <v>24</v>
      </c>
      <c r="E7" s="32">
        <f t="shared" si="1"/>
        <v>0.1726618705</v>
      </c>
      <c r="F7" s="33">
        <f t="shared" si="2"/>
        <v>0.1726618705</v>
      </c>
    </row>
    <row r="8">
      <c r="B8" s="30" t="s">
        <v>46</v>
      </c>
      <c r="C8" s="31">
        <v>3.0</v>
      </c>
      <c r="D8" s="32">
        <f>COUNTIF('Datos depurados'!I:I,3)</f>
        <v>21</v>
      </c>
      <c r="E8" s="32">
        <f t="shared" si="1"/>
        <v>0.1510791367</v>
      </c>
      <c r="F8" s="33">
        <f t="shared" si="2"/>
        <v>0.1510791367</v>
      </c>
    </row>
    <row r="9">
      <c r="B9" s="34" t="s">
        <v>70</v>
      </c>
      <c r="C9" s="34"/>
      <c r="D9" s="34">
        <f t="shared" ref="D9:F9" si="3">SUM(D5:D8)</f>
        <v>139</v>
      </c>
      <c r="E9" s="34">
        <f t="shared" si="3"/>
        <v>1</v>
      </c>
      <c r="F9" s="35">
        <f t="shared" si="3"/>
        <v>1</v>
      </c>
    </row>
    <row r="11">
      <c r="B11" s="36" t="s">
        <v>71</v>
      </c>
      <c r="C11" s="36">
        <v>3.0</v>
      </c>
      <c r="D11" s="37"/>
    </row>
    <row r="21" ht="15.75" customHeight="1"/>
    <row r="22" ht="15.75" customHeight="1"/>
    <row r="23" ht="15.75" customHeight="1">
      <c r="G23" s="38"/>
    </row>
    <row r="24" ht="15.75" customHeight="1">
      <c r="G24" s="3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71"/>
    <col customWidth="1" min="3" max="3" width="12.29"/>
    <col customWidth="1" min="4" max="4" width="13.43"/>
    <col customWidth="1" min="5" max="5" width="12.14"/>
    <col customWidth="1" min="6" max="6" width="13.14"/>
    <col customWidth="1" min="7" max="7" width="12.71"/>
    <col customWidth="1" min="8" max="8" width="10.71"/>
    <col customWidth="1" min="9" max="9" width="12.57"/>
    <col customWidth="1" min="10" max="10" width="11.43"/>
    <col customWidth="1" min="11" max="11" width="12.86"/>
    <col customWidth="1" min="12" max="12" width="12.14"/>
    <col customWidth="1" min="13" max="26" width="10.71"/>
  </cols>
  <sheetData>
    <row r="2">
      <c r="B2" s="39" t="s">
        <v>72</v>
      </c>
      <c r="C2" s="40">
        <f>MIN('Datos depurados'!$H$2:$H$143)</f>
        <v>1</v>
      </c>
    </row>
    <row r="3">
      <c r="B3" s="39" t="s">
        <v>73</v>
      </c>
      <c r="C3" s="40">
        <f>MAX('Datos depurados'!$H$2:$H$143)</f>
        <v>6</v>
      </c>
    </row>
    <row r="4">
      <c r="L4" s="41"/>
    </row>
    <row r="5">
      <c r="B5" s="42" t="s">
        <v>74</v>
      </c>
      <c r="C5" s="42" t="s">
        <v>75</v>
      </c>
      <c r="D5" s="42" t="s">
        <v>76</v>
      </c>
      <c r="E5" s="42" t="s">
        <v>77</v>
      </c>
      <c r="F5" s="42" t="s">
        <v>78</v>
      </c>
    </row>
    <row r="6">
      <c r="B6" s="32">
        <v>1.0</v>
      </c>
      <c r="C6" s="32">
        <f>COUNTIF('Datos depurados'!H:H,B6)</f>
        <v>20</v>
      </c>
      <c r="D6" s="32">
        <f t="shared" ref="D6:D13" si="1">C6/$C$12</f>
        <v>0.157480315</v>
      </c>
      <c r="E6" s="32">
        <f>C6</f>
        <v>20</v>
      </c>
      <c r="F6" s="32">
        <f t="shared" ref="F6:F11" si="2">E6/$C$12</f>
        <v>0.157480315</v>
      </c>
      <c r="G6" s="43"/>
      <c r="H6" s="43"/>
      <c r="L6" s="1"/>
    </row>
    <row r="7">
      <c r="B7" s="32">
        <v>2.0</v>
      </c>
      <c r="C7" s="32">
        <f>COUNTIF('Datos depurados'!H:H,B7)</f>
        <v>71</v>
      </c>
      <c r="D7" s="32">
        <f t="shared" si="1"/>
        <v>0.5590551181</v>
      </c>
      <c r="E7" s="32">
        <f t="shared" ref="E7:E11" si="3">C7+E6</f>
        <v>91</v>
      </c>
      <c r="F7" s="32">
        <f t="shared" si="2"/>
        <v>0.7165354331</v>
      </c>
      <c r="G7" s="43"/>
      <c r="H7" s="43"/>
    </row>
    <row r="8">
      <c r="B8" s="32">
        <v>3.0</v>
      </c>
      <c r="C8" s="32">
        <f>COUNTIF('Datos depurados'!H:H,B8)</f>
        <v>30</v>
      </c>
      <c r="D8" s="32">
        <f t="shared" si="1"/>
        <v>0.2362204724</v>
      </c>
      <c r="E8" s="32">
        <f t="shared" si="3"/>
        <v>121</v>
      </c>
      <c r="F8" s="32">
        <f t="shared" si="2"/>
        <v>0.9527559055</v>
      </c>
      <c r="G8" s="43"/>
      <c r="H8" s="43"/>
    </row>
    <row r="9">
      <c r="B9" s="32">
        <v>4.0</v>
      </c>
      <c r="C9" s="32">
        <f>COUNTIF('Datos depurados'!H:H,B9)</f>
        <v>2</v>
      </c>
      <c r="D9" s="32">
        <f t="shared" si="1"/>
        <v>0.0157480315</v>
      </c>
      <c r="E9" s="32">
        <f t="shared" si="3"/>
        <v>123</v>
      </c>
      <c r="F9" s="32">
        <f t="shared" si="2"/>
        <v>0.968503937</v>
      </c>
      <c r="G9" s="43"/>
      <c r="H9" s="43"/>
    </row>
    <row r="10">
      <c r="B10" s="32">
        <v>5.0</v>
      </c>
      <c r="C10" s="32">
        <f>COUNTIF('Datos depurados'!H:H,B10)</f>
        <v>2</v>
      </c>
      <c r="D10" s="32">
        <f t="shared" si="1"/>
        <v>0.0157480315</v>
      </c>
      <c r="E10" s="32">
        <f t="shared" si="3"/>
        <v>125</v>
      </c>
      <c r="F10" s="32">
        <f t="shared" si="2"/>
        <v>0.9842519685</v>
      </c>
      <c r="G10" s="43"/>
      <c r="H10" s="43"/>
    </row>
    <row r="11">
      <c r="B11" s="32">
        <v>6.0</v>
      </c>
      <c r="C11" s="32">
        <f>COUNTIF('Datos depurados'!H:H,B11)</f>
        <v>2</v>
      </c>
      <c r="D11" s="32">
        <f t="shared" si="1"/>
        <v>0.0157480315</v>
      </c>
      <c r="E11" s="32">
        <f t="shared" si="3"/>
        <v>127</v>
      </c>
      <c r="F11" s="32">
        <f t="shared" si="2"/>
        <v>1</v>
      </c>
      <c r="G11" s="43"/>
      <c r="H11" s="43"/>
    </row>
    <row r="12">
      <c r="B12" s="44" t="s">
        <v>70</v>
      </c>
      <c r="C12" s="32">
        <f>SUM(C6:C11)</f>
        <v>127</v>
      </c>
      <c r="D12" s="32">
        <f t="shared" si="1"/>
        <v>1</v>
      </c>
      <c r="E12" s="45"/>
      <c r="F12" s="45"/>
      <c r="G12" s="46"/>
      <c r="H12" s="46"/>
    </row>
    <row r="13">
      <c r="B13" s="47" t="s">
        <v>71</v>
      </c>
      <c r="C13" s="32">
        <v>15.0</v>
      </c>
      <c r="D13" s="32">
        <f t="shared" si="1"/>
        <v>0.1181102362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8.43"/>
    <col customWidth="1" min="6" max="6" width="17.0"/>
    <col customWidth="1" min="7" max="7" width="5.0"/>
    <col customWidth="1" min="8" max="8" width="6.86"/>
    <col customWidth="1" min="9" max="9" width="14.14"/>
    <col customWidth="1" min="10" max="10" width="13.86"/>
    <col customWidth="1" min="11" max="11" width="15.29"/>
    <col customWidth="1" min="12" max="12" width="15.57"/>
    <col customWidth="1" min="13" max="13" width="16.14"/>
    <col customWidth="1" min="14" max="14" width="15.71"/>
    <col customWidth="1" min="15" max="15" width="12.43"/>
    <col customWidth="1" min="16" max="16" width="15.14"/>
    <col customWidth="1" min="17" max="17" width="14.57"/>
    <col customWidth="1" min="18" max="26" width="10.71"/>
  </cols>
  <sheetData>
    <row r="3">
      <c r="A3" s="7" t="s">
        <v>2</v>
      </c>
      <c r="B3" s="7" t="s">
        <v>4</v>
      </c>
      <c r="C3" s="7" t="s">
        <v>2</v>
      </c>
      <c r="D3" s="7" t="s">
        <v>4</v>
      </c>
      <c r="F3" s="48" t="s">
        <v>79</v>
      </c>
      <c r="G3" s="49">
        <f>min(D:D)</f>
        <v>150</v>
      </c>
      <c r="I3" s="50" t="s">
        <v>80</v>
      </c>
    </row>
    <row r="4">
      <c r="A4" s="9" t="s">
        <v>44</v>
      </c>
      <c r="B4" s="11">
        <v>182.0</v>
      </c>
      <c r="C4" s="9" t="s">
        <v>54</v>
      </c>
      <c r="D4" s="11">
        <v>162.0</v>
      </c>
      <c r="F4" s="48" t="s">
        <v>81</v>
      </c>
      <c r="G4" s="49">
        <f>max(D:D)</f>
        <v>187</v>
      </c>
      <c r="I4" s="50" t="s">
        <v>82</v>
      </c>
    </row>
    <row r="5">
      <c r="A5" s="9" t="s">
        <v>44</v>
      </c>
      <c r="B5" s="11">
        <v>185.0</v>
      </c>
      <c r="C5" s="9" t="s">
        <v>54</v>
      </c>
      <c r="D5" s="11">
        <v>172.0</v>
      </c>
      <c r="F5" s="48" t="s">
        <v>83</v>
      </c>
      <c r="G5" s="49">
        <v>150.0</v>
      </c>
      <c r="K5" s="1"/>
    </row>
    <row r="6">
      <c r="A6" s="9" t="s">
        <v>44</v>
      </c>
      <c r="B6" s="11">
        <v>170.0</v>
      </c>
      <c r="C6" s="9" t="s">
        <v>54</v>
      </c>
      <c r="D6" s="11">
        <v>159.0</v>
      </c>
      <c r="F6" s="48" t="s">
        <v>84</v>
      </c>
      <c r="G6" s="49">
        <v>195.0</v>
      </c>
      <c r="J6" s="51"/>
      <c r="L6" s="52"/>
    </row>
    <row r="7">
      <c r="A7" s="9" t="s">
        <v>44</v>
      </c>
      <c r="B7" s="11">
        <v>182.0</v>
      </c>
      <c r="C7" s="9" t="s">
        <v>54</v>
      </c>
      <c r="D7" s="24">
        <v>160.0</v>
      </c>
      <c r="F7" s="48" t="s">
        <v>85</v>
      </c>
      <c r="G7" s="49">
        <f>(G6-G5)/5</f>
        <v>9</v>
      </c>
      <c r="H7" s="53"/>
      <c r="I7" s="53"/>
      <c r="J7" s="51"/>
      <c r="L7" s="52"/>
    </row>
    <row r="8">
      <c r="A8" s="9" t="s">
        <v>44</v>
      </c>
      <c r="B8" s="11">
        <v>182.0</v>
      </c>
      <c r="C8" s="9" t="s">
        <v>54</v>
      </c>
      <c r="D8" s="11">
        <v>163.0</v>
      </c>
      <c r="F8" s="48" t="s">
        <v>86</v>
      </c>
      <c r="G8" s="49">
        <v>5.0</v>
      </c>
      <c r="H8" s="54"/>
      <c r="I8" s="54"/>
      <c r="J8" s="51"/>
    </row>
    <row r="9">
      <c r="A9" s="9" t="s">
        <v>44</v>
      </c>
      <c r="B9" s="11">
        <v>180.0</v>
      </c>
      <c r="C9" s="9" t="s">
        <v>54</v>
      </c>
      <c r="D9" s="11">
        <v>160.0</v>
      </c>
      <c r="G9" s="53"/>
      <c r="H9" s="54"/>
      <c r="I9" s="54"/>
      <c r="J9" s="1"/>
    </row>
    <row r="10">
      <c r="A10" s="9" t="s">
        <v>44</v>
      </c>
      <c r="B10" s="11">
        <v>178.0</v>
      </c>
      <c r="C10" s="9" t="s">
        <v>54</v>
      </c>
      <c r="D10" s="11">
        <v>162.0</v>
      </c>
      <c r="G10" s="55"/>
    </row>
    <row r="11">
      <c r="A11" s="9" t="s">
        <v>44</v>
      </c>
      <c r="B11" s="11">
        <v>173.0</v>
      </c>
      <c r="C11" s="9" t="s">
        <v>54</v>
      </c>
      <c r="D11" s="11">
        <v>165.0</v>
      </c>
      <c r="G11" s="53"/>
      <c r="H11" s="51"/>
      <c r="I11" s="56"/>
    </row>
    <row r="12">
      <c r="A12" s="9" t="s">
        <v>44</v>
      </c>
      <c r="B12" s="11">
        <v>184.0</v>
      </c>
      <c r="C12" s="9" t="s">
        <v>54</v>
      </c>
      <c r="D12" s="11">
        <v>165.0</v>
      </c>
      <c r="F12" s="57" t="s">
        <v>87</v>
      </c>
      <c r="G12" s="57" t="s">
        <v>88</v>
      </c>
      <c r="H12" s="57" t="s">
        <v>66</v>
      </c>
      <c r="I12" s="57" t="s">
        <v>89</v>
      </c>
      <c r="J12" s="57" t="s">
        <v>90</v>
      </c>
      <c r="K12" s="57" t="s">
        <v>91</v>
      </c>
      <c r="L12" s="57" t="s">
        <v>92</v>
      </c>
      <c r="M12" s="57" t="s">
        <v>93</v>
      </c>
      <c r="N12" s="57" t="s">
        <v>94</v>
      </c>
      <c r="O12" s="58" t="s">
        <v>95</v>
      </c>
      <c r="P12" s="59" t="s">
        <v>96</v>
      </c>
      <c r="Q12" s="59" t="s">
        <v>97</v>
      </c>
    </row>
    <row r="13">
      <c r="A13" s="9" t="s">
        <v>44</v>
      </c>
      <c r="B13" s="11">
        <v>172.0</v>
      </c>
      <c r="C13" s="9" t="s">
        <v>54</v>
      </c>
      <c r="D13" s="24">
        <v>173.0</v>
      </c>
      <c r="F13" s="60">
        <f>G3</f>
        <v>150</v>
      </c>
      <c r="G13" s="60">
        <f t="shared" ref="G13:G21" si="2">F13+5</f>
        <v>155</v>
      </c>
      <c r="H13" s="61">
        <f t="shared" ref="H13:H21" si="3">(F13+G13)/2</f>
        <v>152.5</v>
      </c>
      <c r="I13" s="62">
        <f t="shared" ref="I13:I21" si="4">SUM(J13:K13)</f>
        <v>2</v>
      </c>
      <c r="J13" s="62">
        <f>COUNTIFS(B4:B86,"&gt;=150",B4:B86,"&lt;155")</f>
        <v>0</v>
      </c>
      <c r="K13" s="62">
        <f>COUNTIFS(D4:D86,"&gt;=150",D4:D86,"&lt;155")</f>
        <v>2</v>
      </c>
      <c r="L13" s="63">
        <f t="shared" ref="L13:L21" si="5">I13/$I$22</f>
        <v>0.01470588235</v>
      </c>
      <c r="M13" s="63">
        <f t="shared" ref="M13:M21" si="6">J13/$J$22</f>
        <v>0</v>
      </c>
      <c r="N13" s="63">
        <f t="shared" ref="N13:N21" si="7">K13/$K$22</f>
        <v>0.03773584906</v>
      </c>
      <c r="O13" s="64">
        <f t="shared" ref="O13:Q13" si="1">L13</f>
        <v>0.01470588235</v>
      </c>
      <c r="P13" s="64">
        <f t="shared" si="1"/>
        <v>0</v>
      </c>
      <c r="Q13" s="64">
        <f t="shared" si="1"/>
        <v>0.03773584906</v>
      </c>
    </row>
    <row r="14">
      <c r="A14" s="9" t="s">
        <v>44</v>
      </c>
      <c r="B14" s="24">
        <v>174.0</v>
      </c>
      <c r="C14" s="9" t="s">
        <v>54</v>
      </c>
      <c r="D14" s="11">
        <v>167.0</v>
      </c>
      <c r="F14" s="60">
        <f t="shared" ref="F14:F21" si="9">G13</f>
        <v>155</v>
      </c>
      <c r="G14" s="60">
        <f t="shared" si="2"/>
        <v>160</v>
      </c>
      <c r="H14" s="61">
        <f t="shared" si="3"/>
        <v>157.5</v>
      </c>
      <c r="I14" s="62">
        <f t="shared" si="4"/>
        <v>4</v>
      </c>
      <c r="J14" s="62">
        <f>COUNTIFS(B4:B86,"&gt;=155",B4:B86,"&lt;160")</f>
        <v>1</v>
      </c>
      <c r="K14" s="62">
        <f>COUNTIFS(D4:D86,"&gt;=155",D4:D86,"&lt;160")</f>
        <v>3</v>
      </c>
      <c r="L14" s="63">
        <f t="shared" si="5"/>
        <v>0.02941176471</v>
      </c>
      <c r="M14" s="63">
        <f t="shared" si="6"/>
        <v>0.01204819277</v>
      </c>
      <c r="N14" s="63">
        <f t="shared" si="7"/>
        <v>0.05660377358</v>
      </c>
      <c r="O14" s="64">
        <f t="shared" ref="O14:Q14" si="8">O13+L14</f>
        <v>0.04411764706</v>
      </c>
      <c r="P14" s="64">
        <f t="shared" si="8"/>
        <v>0.01204819277</v>
      </c>
      <c r="Q14" s="64">
        <f t="shared" si="8"/>
        <v>0.09433962264</v>
      </c>
    </row>
    <row r="15">
      <c r="A15" s="9" t="s">
        <v>44</v>
      </c>
      <c r="B15" s="11">
        <v>173.0</v>
      </c>
      <c r="C15" s="9" t="s">
        <v>54</v>
      </c>
      <c r="D15" s="11">
        <v>170.0</v>
      </c>
      <c r="F15" s="60">
        <f t="shared" si="9"/>
        <v>160</v>
      </c>
      <c r="G15" s="60">
        <f t="shared" si="2"/>
        <v>165</v>
      </c>
      <c r="H15" s="61">
        <f t="shared" si="3"/>
        <v>162.5</v>
      </c>
      <c r="I15" s="62">
        <f t="shared" si="4"/>
        <v>16</v>
      </c>
      <c r="J15" s="62">
        <f>COUNTIFS(B4:B86,"&gt;=160",B4:B86,"&lt;165")</f>
        <v>1</v>
      </c>
      <c r="K15" s="62">
        <f>COUNTIFS(D4:D86,"&gt;=160",D4:D86,"&lt;165")</f>
        <v>15</v>
      </c>
      <c r="L15" s="63">
        <f t="shared" si="5"/>
        <v>0.1176470588</v>
      </c>
      <c r="M15" s="63">
        <f t="shared" si="6"/>
        <v>0.01204819277</v>
      </c>
      <c r="N15" s="63">
        <f t="shared" si="7"/>
        <v>0.2830188679</v>
      </c>
      <c r="O15" s="64">
        <f t="shared" ref="O15:Q15" si="10">O14+L15</f>
        <v>0.1617647059</v>
      </c>
      <c r="P15" s="64">
        <f t="shared" si="10"/>
        <v>0.02409638554</v>
      </c>
      <c r="Q15" s="64">
        <f t="shared" si="10"/>
        <v>0.3773584906</v>
      </c>
    </row>
    <row r="16">
      <c r="A16" s="9" t="s">
        <v>44</v>
      </c>
      <c r="B16" s="11">
        <v>171.0</v>
      </c>
      <c r="C16" s="9" t="s">
        <v>54</v>
      </c>
      <c r="D16" s="11">
        <v>163.5</v>
      </c>
      <c r="F16" s="60">
        <f t="shared" si="9"/>
        <v>165</v>
      </c>
      <c r="G16" s="60">
        <f t="shared" si="2"/>
        <v>170</v>
      </c>
      <c r="H16" s="61">
        <f t="shared" si="3"/>
        <v>167.5</v>
      </c>
      <c r="I16" s="62">
        <f t="shared" si="4"/>
        <v>27</v>
      </c>
      <c r="J16" s="62">
        <f>COUNTIFS(B4:B86,"&gt;=165",B4:B86,"&lt;170")</f>
        <v>7</v>
      </c>
      <c r="K16" s="62">
        <f>COUNTIFS(D4:D86,"&gt;=165",D4:D86,"&lt;170")</f>
        <v>20</v>
      </c>
      <c r="L16" s="63">
        <f t="shared" si="5"/>
        <v>0.1985294118</v>
      </c>
      <c r="M16" s="63">
        <f t="shared" si="6"/>
        <v>0.0843373494</v>
      </c>
      <c r="N16" s="63">
        <f t="shared" si="7"/>
        <v>0.3773584906</v>
      </c>
      <c r="O16" s="64">
        <f t="shared" ref="O16:Q16" si="11">O15+L16</f>
        <v>0.3602941176</v>
      </c>
      <c r="P16" s="64">
        <f t="shared" si="11"/>
        <v>0.1084337349</v>
      </c>
      <c r="Q16" s="64">
        <f t="shared" si="11"/>
        <v>0.7547169811</v>
      </c>
    </row>
    <row r="17">
      <c r="A17" s="9" t="s">
        <v>44</v>
      </c>
      <c r="B17" s="11">
        <v>177.0</v>
      </c>
      <c r="C17" s="9" t="s">
        <v>54</v>
      </c>
      <c r="D17" s="11">
        <v>150.0</v>
      </c>
      <c r="F17" s="60">
        <f t="shared" si="9"/>
        <v>170</v>
      </c>
      <c r="G17" s="60">
        <f t="shared" si="2"/>
        <v>175</v>
      </c>
      <c r="H17" s="61">
        <f t="shared" si="3"/>
        <v>172.5</v>
      </c>
      <c r="I17" s="62">
        <f t="shared" si="4"/>
        <v>25</v>
      </c>
      <c r="J17" s="62">
        <f>COUNTIFS(B4:B86,"&gt;=170",B4:B86,"&lt;175")</f>
        <v>15</v>
      </c>
      <c r="K17" s="62">
        <f>COUNTIFS(D4:D86,"&gt;=170",D4:D86,"&lt;175")</f>
        <v>10</v>
      </c>
      <c r="L17" s="63">
        <f t="shared" si="5"/>
        <v>0.1838235294</v>
      </c>
      <c r="M17" s="63">
        <f t="shared" si="6"/>
        <v>0.1807228916</v>
      </c>
      <c r="N17" s="63">
        <f t="shared" si="7"/>
        <v>0.1886792453</v>
      </c>
      <c r="O17" s="64">
        <f t="shared" ref="O17:Q17" si="12">O16+L17</f>
        <v>0.5441176471</v>
      </c>
      <c r="P17" s="64">
        <f t="shared" si="12"/>
        <v>0.2891566265</v>
      </c>
      <c r="Q17" s="64">
        <f t="shared" si="12"/>
        <v>0.9433962264</v>
      </c>
    </row>
    <row r="18">
      <c r="A18" s="9" t="s">
        <v>44</v>
      </c>
      <c r="B18" s="11">
        <v>175.0</v>
      </c>
      <c r="C18" s="9" t="s">
        <v>54</v>
      </c>
      <c r="D18" s="11">
        <v>185.0</v>
      </c>
      <c r="F18" s="60">
        <f t="shared" si="9"/>
        <v>175</v>
      </c>
      <c r="G18" s="60">
        <f t="shared" si="2"/>
        <v>180</v>
      </c>
      <c r="H18" s="61">
        <f t="shared" si="3"/>
        <v>177.5</v>
      </c>
      <c r="I18" s="62">
        <f t="shared" si="4"/>
        <v>17</v>
      </c>
      <c r="J18" s="62">
        <f>COUNTIFS(B4:B86,"&gt;=175",B4:B86,"&lt;180")</f>
        <v>16</v>
      </c>
      <c r="K18" s="62">
        <f>COUNTIFS(D4:D86,"&gt;=175",D4:D86,"&lt;180")</f>
        <v>1</v>
      </c>
      <c r="L18" s="63">
        <f t="shared" si="5"/>
        <v>0.125</v>
      </c>
      <c r="M18" s="63">
        <f t="shared" si="6"/>
        <v>0.1927710843</v>
      </c>
      <c r="N18" s="63">
        <f t="shared" si="7"/>
        <v>0.01886792453</v>
      </c>
      <c r="O18" s="64">
        <f t="shared" ref="O18:Q18" si="13">O17+L18</f>
        <v>0.6691176471</v>
      </c>
      <c r="P18" s="64">
        <f t="shared" si="13"/>
        <v>0.4819277108</v>
      </c>
      <c r="Q18" s="64">
        <f t="shared" si="13"/>
        <v>0.9622641509</v>
      </c>
    </row>
    <row r="19">
      <c r="A19" s="9" t="s">
        <v>44</v>
      </c>
      <c r="B19" s="11">
        <v>180.0</v>
      </c>
      <c r="C19" s="9" t="s">
        <v>54</v>
      </c>
      <c r="D19" s="11">
        <v>167.0</v>
      </c>
      <c r="F19" s="60">
        <f t="shared" si="9"/>
        <v>180</v>
      </c>
      <c r="G19" s="60">
        <f t="shared" si="2"/>
        <v>185</v>
      </c>
      <c r="H19" s="61">
        <f t="shared" si="3"/>
        <v>182.5</v>
      </c>
      <c r="I19" s="62">
        <f t="shared" si="4"/>
        <v>27</v>
      </c>
      <c r="J19" s="62">
        <f>COUNTIFS(B4:B86,"&gt;=180",B4:B86,"&lt;185")</f>
        <v>27</v>
      </c>
      <c r="K19" s="62">
        <f>COUNTIFS(D4:D86,"&gt;=180",D4:D86,"&lt;185")</f>
        <v>0</v>
      </c>
      <c r="L19" s="63">
        <f t="shared" si="5"/>
        <v>0.1985294118</v>
      </c>
      <c r="M19" s="63">
        <f t="shared" si="6"/>
        <v>0.3253012048</v>
      </c>
      <c r="N19" s="63">
        <f t="shared" si="7"/>
        <v>0</v>
      </c>
      <c r="O19" s="64">
        <f t="shared" ref="O19:Q19" si="14">O18+L19</f>
        <v>0.8676470588</v>
      </c>
      <c r="P19" s="64">
        <f t="shared" si="14"/>
        <v>0.8072289157</v>
      </c>
      <c r="Q19" s="64">
        <f t="shared" si="14"/>
        <v>0.9622641509</v>
      </c>
    </row>
    <row r="20">
      <c r="A20" s="9" t="s">
        <v>44</v>
      </c>
      <c r="B20" s="11">
        <v>185.0</v>
      </c>
      <c r="C20" s="9" t="s">
        <v>54</v>
      </c>
      <c r="D20" s="11">
        <v>165.0</v>
      </c>
      <c r="F20" s="60">
        <f t="shared" si="9"/>
        <v>185</v>
      </c>
      <c r="G20" s="60">
        <f t="shared" si="2"/>
        <v>190</v>
      </c>
      <c r="H20" s="61">
        <f t="shared" si="3"/>
        <v>187.5</v>
      </c>
      <c r="I20" s="62">
        <f t="shared" si="4"/>
        <v>12</v>
      </c>
      <c r="J20" s="62">
        <f>COUNTIFS(B4:B86,"&gt;=185",B4:B86,"&lt;190")</f>
        <v>10</v>
      </c>
      <c r="K20" s="62">
        <f>COUNTIFS(D4:D86,"&gt;=185",D4:D86,"&lt;190")</f>
        <v>2</v>
      </c>
      <c r="L20" s="63">
        <f t="shared" si="5"/>
        <v>0.08823529412</v>
      </c>
      <c r="M20" s="63">
        <f t="shared" si="6"/>
        <v>0.1204819277</v>
      </c>
      <c r="N20" s="63">
        <f t="shared" si="7"/>
        <v>0.03773584906</v>
      </c>
      <c r="O20" s="64">
        <f t="shared" ref="O20:Q20" si="15">O19+L20</f>
        <v>0.9558823529</v>
      </c>
      <c r="P20" s="64">
        <f t="shared" si="15"/>
        <v>0.9277108434</v>
      </c>
      <c r="Q20" s="64">
        <f t="shared" si="15"/>
        <v>1</v>
      </c>
    </row>
    <row r="21" ht="15.75" customHeight="1">
      <c r="A21" s="9" t="s">
        <v>44</v>
      </c>
      <c r="B21" s="11">
        <v>172.0</v>
      </c>
      <c r="C21" s="9" t="s">
        <v>54</v>
      </c>
      <c r="D21" s="11">
        <v>165.0</v>
      </c>
      <c r="F21" s="60">
        <f t="shared" si="9"/>
        <v>190</v>
      </c>
      <c r="G21" s="60">
        <f t="shared" si="2"/>
        <v>195</v>
      </c>
      <c r="H21" s="61">
        <f t="shared" si="3"/>
        <v>192.5</v>
      </c>
      <c r="I21" s="62">
        <f t="shared" si="4"/>
        <v>6</v>
      </c>
      <c r="J21" s="62">
        <f>COUNTIFS(B4:B86,"&gt;=190",B4:B86,"&lt;195")</f>
        <v>6</v>
      </c>
      <c r="K21" s="62">
        <f>COUNTIFS(D4:D86,"&gt;=190",D4:D86,"&lt;195")</f>
        <v>0</v>
      </c>
      <c r="L21" s="63">
        <f t="shared" si="5"/>
        <v>0.04411764706</v>
      </c>
      <c r="M21" s="63">
        <f t="shared" si="6"/>
        <v>0.07228915663</v>
      </c>
      <c r="N21" s="63">
        <f t="shared" si="7"/>
        <v>0</v>
      </c>
      <c r="O21" s="64">
        <f t="shared" ref="O21:Q21" si="16">O20+L21</f>
        <v>1</v>
      </c>
      <c r="P21" s="64">
        <f t="shared" si="16"/>
        <v>1</v>
      </c>
      <c r="Q21" s="64">
        <f t="shared" si="16"/>
        <v>1</v>
      </c>
    </row>
    <row r="22" ht="15.75" customHeight="1">
      <c r="A22" s="9" t="s">
        <v>44</v>
      </c>
      <c r="B22" s="11">
        <v>183.0</v>
      </c>
      <c r="C22" s="9" t="s">
        <v>54</v>
      </c>
      <c r="D22" s="11">
        <v>163.0</v>
      </c>
      <c r="F22" s="65" t="s">
        <v>98</v>
      </c>
      <c r="G22" s="66"/>
      <c r="H22" s="67"/>
      <c r="I22" s="67">
        <f t="shared" ref="I22:N22" si="17">SUM(I13:I21)</f>
        <v>136</v>
      </c>
      <c r="J22" s="67">
        <f t="shared" si="17"/>
        <v>83</v>
      </c>
      <c r="K22" s="67">
        <f t="shared" si="17"/>
        <v>53</v>
      </c>
      <c r="L22" s="68">
        <f t="shared" si="17"/>
        <v>1</v>
      </c>
      <c r="M22" s="68">
        <f t="shared" si="17"/>
        <v>1</v>
      </c>
      <c r="N22" s="68">
        <f t="shared" si="17"/>
        <v>1</v>
      </c>
      <c r="O22" s="51"/>
      <c r="P22" s="51"/>
    </row>
    <row r="23" ht="15.75" customHeight="1">
      <c r="A23" s="9" t="s">
        <v>44</v>
      </c>
      <c r="B23" s="11">
        <v>180.0</v>
      </c>
      <c r="C23" s="9" t="s">
        <v>54</v>
      </c>
      <c r="D23" s="11">
        <v>165.0</v>
      </c>
      <c r="O23" s="51"/>
      <c r="P23" s="51"/>
    </row>
    <row r="24" ht="15.75" customHeight="1">
      <c r="A24" s="9" t="s">
        <v>44</v>
      </c>
      <c r="B24" s="11">
        <v>171.0</v>
      </c>
      <c r="C24" s="9" t="s">
        <v>54</v>
      </c>
      <c r="D24" s="11">
        <v>165.0</v>
      </c>
      <c r="N24" s="51"/>
      <c r="O24" s="51"/>
      <c r="P24" s="51"/>
    </row>
    <row r="25" ht="15.75" customHeight="1">
      <c r="A25" s="9" t="s">
        <v>44</v>
      </c>
      <c r="B25" s="11">
        <v>186.0</v>
      </c>
      <c r="C25" s="9" t="s">
        <v>54</v>
      </c>
      <c r="D25" s="11">
        <v>187.0</v>
      </c>
      <c r="N25" s="51"/>
      <c r="O25" s="51"/>
      <c r="P25" s="51"/>
    </row>
    <row r="26" ht="15.75" customHeight="1">
      <c r="A26" s="9" t="s">
        <v>44</v>
      </c>
      <c r="B26" s="24">
        <v>187.0</v>
      </c>
      <c r="C26" s="9" t="s">
        <v>54</v>
      </c>
      <c r="D26" s="11">
        <v>175.0</v>
      </c>
    </row>
    <row r="27" ht="15.75" customHeight="1">
      <c r="A27" s="9" t="s">
        <v>44</v>
      </c>
      <c r="B27" s="24">
        <v>175.0</v>
      </c>
      <c r="C27" s="9" t="s">
        <v>54</v>
      </c>
      <c r="D27" s="24">
        <v>158.0</v>
      </c>
    </row>
    <row r="28" ht="15.75" customHeight="1">
      <c r="A28" s="9" t="s">
        <v>44</v>
      </c>
      <c r="B28" s="24">
        <v>180.0</v>
      </c>
      <c r="C28" s="9" t="s">
        <v>54</v>
      </c>
      <c r="D28" s="24">
        <v>168.0</v>
      </c>
    </row>
    <row r="29" ht="15.75" customHeight="1">
      <c r="A29" s="9" t="s">
        <v>44</v>
      </c>
      <c r="B29" s="24">
        <v>180.0</v>
      </c>
      <c r="C29" s="9" t="s">
        <v>54</v>
      </c>
      <c r="D29" s="24">
        <v>162.0</v>
      </c>
    </row>
    <row r="30" ht="15.75" customHeight="1">
      <c r="A30" s="9" t="s">
        <v>44</v>
      </c>
      <c r="B30" s="11">
        <v>168.0</v>
      </c>
      <c r="C30" s="9" t="s">
        <v>54</v>
      </c>
      <c r="D30" s="24">
        <v>168.0</v>
      </c>
    </row>
    <row r="31" ht="15.75" customHeight="1">
      <c r="A31" s="9" t="s">
        <v>44</v>
      </c>
      <c r="B31" s="11">
        <v>190.0</v>
      </c>
      <c r="C31" s="9" t="s">
        <v>54</v>
      </c>
      <c r="D31" s="24">
        <v>162.0</v>
      </c>
    </row>
    <row r="32" ht="15.75" customHeight="1">
      <c r="A32" s="9" t="s">
        <v>44</v>
      </c>
      <c r="B32" s="11">
        <v>169.0</v>
      </c>
      <c r="C32" s="9" t="s">
        <v>54</v>
      </c>
      <c r="D32" s="24">
        <v>158.0</v>
      </c>
    </row>
    <row r="33" ht="15.75" customHeight="1">
      <c r="A33" s="9" t="s">
        <v>44</v>
      </c>
      <c r="B33" s="11">
        <v>175.0</v>
      </c>
      <c r="C33" s="9" t="s">
        <v>54</v>
      </c>
      <c r="D33" s="24">
        <v>172.0</v>
      </c>
    </row>
    <row r="34" ht="15.75" customHeight="1">
      <c r="A34" s="9" t="s">
        <v>44</v>
      </c>
      <c r="B34" s="11">
        <v>165.0</v>
      </c>
      <c r="C34" s="9" t="s">
        <v>54</v>
      </c>
      <c r="D34" s="24">
        <v>171.0</v>
      </c>
    </row>
    <row r="35" ht="15.75" customHeight="1">
      <c r="A35" s="9" t="s">
        <v>44</v>
      </c>
      <c r="B35" s="11">
        <v>176.0</v>
      </c>
      <c r="C35" s="9" t="s">
        <v>54</v>
      </c>
      <c r="D35" s="24">
        <v>165.0</v>
      </c>
    </row>
    <row r="36" ht="15.75" customHeight="1">
      <c r="A36" s="9" t="s">
        <v>44</v>
      </c>
      <c r="B36" s="11">
        <v>178.0</v>
      </c>
      <c r="C36" s="9" t="s">
        <v>54</v>
      </c>
      <c r="D36" s="24">
        <v>165.0</v>
      </c>
    </row>
    <row r="37" ht="15.75" customHeight="1">
      <c r="A37" s="9" t="s">
        <v>44</v>
      </c>
      <c r="B37" s="11">
        <v>165.0</v>
      </c>
      <c r="C37" s="9" t="s">
        <v>54</v>
      </c>
      <c r="D37" s="24">
        <v>165.0</v>
      </c>
    </row>
    <row r="38" ht="15.75" customHeight="1">
      <c r="A38" s="9" t="s">
        <v>44</v>
      </c>
      <c r="B38" s="11">
        <v>174.0</v>
      </c>
      <c r="C38" s="9" t="s">
        <v>54</v>
      </c>
      <c r="D38" s="11">
        <v>165.0</v>
      </c>
    </row>
    <row r="39" ht="15.75" customHeight="1">
      <c r="A39" s="9" t="s">
        <v>44</v>
      </c>
      <c r="B39" s="24">
        <v>175.0</v>
      </c>
      <c r="C39" s="9" t="s">
        <v>54</v>
      </c>
      <c r="D39" s="11">
        <v>173.0</v>
      </c>
    </row>
    <row r="40" ht="15.75" customHeight="1">
      <c r="A40" s="9" t="s">
        <v>44</v>
      </c>
      <c r="B40" s="24">
        <v>190.0</v>
      </c>
      <c r="C40" s="9" t="s">
        <v>54</v>
      </c>
      <c r="D40" s="11">
        <v>165.0</v>
      </c>
    </row>
    <row r="41" ht="15.75" customHeight="1">
      <c r="A41" s="9" t="s">
        <v>44</v>
      </c>
      <c r="B41" s="24">
        <v>178.0</v>
      </c>
      <c r="C41" s="9" t="s">
        <v>54</v>
      </c>
      <c r="D41" s="11">
        <v>165.0</v>
      </c>
    </row>
    <row r="42" ht="15.75" customHeight="1">
      <c r="A42" s="9" t="s">
        <v>44</v>
      </c>
      <c r="B42" s="24">
        <v>166.0</v>
      </c>
      <c r="C42" s="9" t="s">
        <v>54</v>
      </c>
      <c r="D42" s="11">
        <v>167.0</v>
      </c>
    </row>
    <row r="43" ht="15.75" customHeight="1">
      <c r="A43" s="9" t="s">
        <v>44</v>
      </c>
      <c r="B43" s="24">
        <v>180.0</v>
      </c>
      <c r="C43" s="9" t="s">
        <v>54</v>
      </c>
      <c r="D43" s="11">
        <v>169.0</v>
      </c>
    </row>
    <row r="44" ht="15.75" customHeight="1">
      <c r="A44" s="9" t="s">
        <v>44</v>
      </c>
      <c r="B44" s="24">
        <v>189.0</v>
      </c>
      <c r="C44" s="9" t="s">
        <v>54</v>
      </c>
      <c r="D44" s="11">
        <v>170.0</v>
      </c>
    </row>
    <row r="45" ht="15.75" customHeight="1">
      <c r="A45" s="9" t="s">
        <v>44</v>
      </c>
      <c r="B45" s="24">
        <v>190.0</v>
      </c>
      <c r="C45" s="9" t="s">
        <v>54</v>
      </c>
      <c r="D45" s="11">
        <v>162.0</v>
      </c>
    </row>
    <row r="46" ht="15.75" customHeight="1">
      <c r="A46" s="9" t="s">
        <v>44</v>
      </c>
      <c r="B46" s="24">
        <v>180.0</v>
      </c>
      <c r="C46" s="9" t="s">
        <v>54</v>
      </c>
      <c r="D46" s="11">
        <v>150.0</v>
      </c>
    </row>
    <row r="47" ht="15.75" customHeight="1">
      <c r="A47" s="9" t="s">
        <v>44</v>
      </c>
      <c r="B47" s="24">
        <v>182.0</v>
      </c>
      <c r="C47" s="9" t="s">
        <v>54</v>
      </c>
      <c r="D47" s="11">
        <v>170.0</v>
      </c>
    </row>
    <row r="48" ht="15.75" customHeight="1">
      <c r="A48" s="9" t="s">
        <v>44</v>
      </c>
      <c r="B48" s="24">
        <v>180.0</v>
      </c>
      <c r="C48" s="9" t="s">
        <v>54</v>
      </c>
      <c r="D48" s="11">
        <v>169.0</v>
      </c>
    </row>
    <row r="49" ht="15.75" customHeight="1">
      <c r="A49" s="9" t="s">
        <v>44</v>
      </c>
      <c r="B49" s="24">
        <v>175.0</v>
      </c>
      <c r="C49" s="9" t="s">
        <v>54</v>
      </c>
      <c r="D49" s="11">
        <v>172.0</v>
      </c>
    </row>
    <row r="50" ht="15.75" customHeight="1">
      <c r="A50" s="9" t="s">
        <v>44</v>
      </c>
      <c r="B50" s="24">
        <v>183.0</v>
      </c>
      <c r="C50" s="9" t="s">
        <v>54</v>
      </c>
      <c r="D50" s="11">
        <v>160.0</v>
      </c>
    </row>
    <row r="51" ht="15.75" customHeight="1">
      <c r="A51" s="9" t="s">
        <v>44</v>
      </c>
      <c r="B51" s="24">
        <v>180.0</v>
      </c>
      <c r="C51" s="9" t="s">
        <v>54</v>
      </c>
      <c r="D51" s="11">
        <v>173.0</v>
      </c>
    </row>
    <row r="52" ht="15.75" customHeight="1">
      <c r="A52" s="9" t="s">
        <v>44</v>
      </c>
      <c r="B52" s="11">
        <v>175.0</v>
      </c>
      <c r="C52" s="9" t="s">
        <v>54</v>
      </c>
      <c r="D52" s="11">
        <v>168.0</v>
      </c>
    </row>
    <row r="53" ht="15.75" customHeight="1">
      <c r="A53" s="9" t="s">
        <v>44</v>
      </c>
      <c r="B53" s="11">
        <v>180.0</v>
      </c>
      <c r="C53" s="9" t="s">
        <v>54</v>
      </c>
      <c r="D53" s="11">
        <v>163.0</v>
      </c>
    </row>
    <row r="54" ht="15.75" customHeight="1">
      <c r="A54" s="9" t="s">
        <v>44</v>
      </c>
      <c r="B54" s="11">
        <v>175.0</v>
      </c>
      <c r="C54" s="9" t="s">
        <v>54</v>
      </c>
      <c r="D54" s="24">
        <v>160.0</v>
      </c>
    </row>
    <row r="55" ht="15.75" customHeight="1">
      <c r="A55" s="9" t="s">
        <v>44</v>
      </c>
      <c r="B55" s="24">
        <v>180.0</v>
      </c>
      <c r="C55" s="9" t="s">
        <v>54</v>
      </c>
      <c r="D55" s="11">
        <v>160.0</v>
      </c>
    </row>
    <row r="56" ht="15.75" customHeight="1">
      <c r="A56" s="9" t="s">
        <v>44</v>
      </c>
      <c r="B56" s="24">
        <v>180.0</v>
      </c>
      <c r="C56" s="9" t="s">
        <v>54</v>
      </c>
      <c r="D56" s="11">
        <v>160.0</v>
      </c>
    </row>
    <row r="57" ht="15.75" customHeight="1">
      <c r="A57" s="9" t="s">
        <v>44</v>
      </c>
      <c r="B57" s="24">
        <v>186.0</v>
      </c>
    </row>
    <row r="58" ht="15.75" customHeight="1">
      <c r="A58" s="9" t="s">
        <v>44</v>
      </c>
      <c r="B58" s="24">
        <v>181.0</v>
      </c>
    </row>
    <row r="59" ht="15.75" customHeight="1">
      <c r="A59" s="9" t="s">
        <v>44</v>
      </c>
      <c r="B59" s="24">
        <v>158.0</v>
      </c>
    </row>
    <row r="60" ht="15.75" customHeight="1">
      <c r="A60" s="9" t="s">
        <v>44</v>
      </c>
      <c r="B60" s="24">
        <v>178.0</v>
      </c>
    </row>
    <row r="61" ht="15.75" customHeight="1">
      <c r="A61" s="9" t="s">
        <v>44</v>
      </c>
      <c r="B61" s="24">
        <v>175.0</v>
      </c>
    </row>
    <row r="62" ht="15.75" customHeight="1">
      <c r="A62" s="9" t="s">
        <v>44</v>
      </c>
      <c r="B62" s="24">
        <v>180.0</v>
      </c>
    </row>
    <row r="63" ht="15.75" customHeight="1">
      <c r="A63" s="9" t="s">
        <v>44</v>
      </c>
      <c r="B63" s="24">
        <v>182.0</v>
      </c>
    </row>
    <row r="64" ht="15.75" customHeight="1">
      <c r="A64" s="9" t="s">
        <v>44</v>
      </c>
      <c r="B64" s="11">
        <v>185.0</v>
      </c>
    </row>
    <row r="65" ht="15.75" customHeight="1">
      <c r="A65" s="9" t="s">
        <v>44</v>
      </c>
      <c r="B65" s="11">
        <v>170.0</v>
      </c>
    </row>
    <row r="66" ht="15.75" customHeight="1">
      <c r="A66" s="9" t="s">
        <v>44</v>
      </c>
      <c r="B66" s="11">
        <v>189.0</v>
      </c>
    </row>
    <row r="67" ht="15.75" customHeight="1">
      <c r="A67" s="9" t="s">
        <v>44</v>
      </c>
      <c r="B67" s="11">
        <v>170.0</v>
      </c>
    </row>
    <row r="68" ht="15.75" customHeight="1">
      <c r="A68" s="9" t="s">
        <v>44</v>
      </c>
      <c r="B68" s="11">
        <v>185.0</v>
      </c>
    </row>
    <row r="69" ht="15.75" customHeight="1">
      <c r="A69" s="9" t="s">
        <v>44</v>
      </c>
      <c r="B69" s="11">
        <v>189.0</v>
      </c>
    </row>
    <row r="70" ht="15.75" customHeight="1">
      <c r="A70" s="9" t="s">
        <v>44</v>
      </c>
      <c r="B70" s="11">
        <v>180.0</v>
      </c>
    </row>
    <row r="71" ht="15.75" customHeight="1">
      <c r="A71" s="9" t="s">
        <v>44</v>
      </c>
      <c r="B71" s="11">
        <v>192.0</v>
      </c>
    </row>
    <row r="72" ht="15.75" customHeight="1">
      <c r="A72" s="9" t="s">
        <v>44</v>
      </c>
      <c r="B72" s="11">
        <v>193.0</v>
      </c>
    </row>
    <row r="73" ht="15.75" customHeight="1">
      <c r="A73" s="9" t="s">
        <v>44</v>
      </c>
      <c r="B73" s="11">
        <v>170.0</v>
      </c>
    </row>
    <row r="74" ht="15.75" customHeight="1">
      <c r="A74" s="9" t="s">
        <v>44</v>
      </c>
      <c r="B74" s="11">
        <v>170.0</v>
      </c>
    </row>
    <row r="75" ht="15.75" customHeight="1">
      <c r="A75" s="9" t="s">
        <v>44</v>
      </c>
      <c r="B75" s="11">
        <v>168.0</v>
      </c>
    </row>
    <row r="76" ht="15.75" customHeight="1">
      <c r="A76" s="9" t="s">
        <v>44</v>
      </c>
      <c r="B76" s="11">
        <v>176.0</v>
      </c>
    </row>
    <row r="77" ht="15.75" customHeight="1">
      <c r="A77" s="9" t="s">
        <v>44</v>
      </c>
      <c r="B77" s="11">
        <v>173.0</v>
      </c>
    </row>
    <row r="78" ht="15.75" customHeight="1">
      <c r="A78" s="9" t="s">
        <v>44</v>
      </c>
      <c r="B78" s="11">
        <v>163.0</v>
      </c>
    </row>
    <row r="79" ht="15.75" customHeight="1">
      <c r="A79" s="9" t="s">
        <v>44</v>
      </c>
      <c r="B79" s="11">
        <v>183.0</v>
      </c>
    </row>
    <row r="80" ht="15.75" customHeight="1">
      <c r="A80" s="9" t="s">
        <v>44</v>
      </c>
      <c r="B80" s="11">
        <v>167.0</v>
      </c>
    </row>
    <row r="81" ht="15.75" customHeight="1">
      <c r="A81" s="9" t="s">
        <v>44</v>
      </c>
      <c r="B81" s="11">
        <v>181.0</v>
      </c>
    </row>
    <row r="82" ht="15.75" customHeight="1">
      <c r="A82" s="9" t="s">
        <v>44</v>
      </c>
      <c r="B82" s="11">
        <v>182.0</v>
      </c>
    </row>
    <row r="83" ht="15.75" customHeight="1">
      <c r="A83" s="9" t="s">
        <v>44</v>
      </c>
      <c r="B83" s="11">
        <v>180.0</v>
      </c>
    </row>
    <row r="84" ht="15.75" customHeight="1">
      <c r="A84" s="9" t="s">
        <v>44</v>
      </c>
      <c r="B84" s="11">
        <v>177.0</v>
      </c>
    </row>
    <row r="85" ht="15.75" customHeight="1">
      <c r="A85" s="9" t="s">
        <v>44</v>
      </c>
      <c r="B85" s="11">
        <v>174.0</v>
      </c>
    </row>
    <row r="86" ht="15.75" customHeight="1">
      <c r="A86" s="9" t="s">
        <v>44</v>
      </c>
      <c r="B86" s="11">
        <v>190.0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22:G2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29"/>
    <col customWidth="1" min="3" max="3" width="5.71"/>
    <col customWidth="1" min="4" max="4" width="19.86"/>
  </cols>
  <sheetData>
    <row r="1">
      <c r="A1" s="69"/>
      <c r="B1" s="69"/>
      <c r="C1" s="69"/>
      <c r="D1" s="69"/>
    </row>
    <row r="2">
      <c r="A2" s="69"/>
      <c r="B2" s="70" t="s">
        <v>99</v>
      </c>
      <c r="C2" s="71"/>
      <c r="D2" s="72" t="s">
        <v>100</v>
      </c>
    </row>
    <row r="3">
      <c r="A3" s="69"/>
      <c r="B3" s="73" t="s">
        <v>87</v>
      </c>
      <c r="C3" s="73" t="s">
        <v>88</v>
      </c>
      <c r="D3" s="73" t="s">
        <v>101</v>
      </c>
    </row>
    <row r="4">
      <c r="A4" s="69"/>
      <c r="B4" s="74">
        <v>150.0</v>
      </c>
      <c r="C4" s="74">
        <v>250.0</v>
      </c>
      <c r="D4" s="74">
        <v>10.0</v>
      </c>
    </row>
    <row r="5">
      <c r="A5" s="69"/>
      <c r="B5" s="74">
        <v>250.0</v>
      </c>
      <c r="C5" s="74">
        <v>350.0</v>
      </c>
      <c r="D5" s="74">
        <v>25.0</v>
      </c>
    </row>
    <row r="6">
      <c r="A6" s="69"/>
      <c r="B6" s="74">
        <v>350.0</v>
      </c>
      <c r="C6" s="74">
        <v>450.0</v>
      </c>
      <c r="D6" s="74">
        <v>50.0</v>
      </c>
    </row>
    <row r="7">
      <c r="A7" s="69"/>
      <c r="B7" s="74">
        <v>450.0</v>
      </c>
      <c r="C7" s="74">
        <v>750.0</v>
      </c>
      <c r="D7" s="74">
        <v>80.0</v>
      </c>
    </row>
    <row r="8">
      <c r="A8" s="69"/>
      <c r="B8" s="74">
        <v>750.0</v>
      </c>
      <c r="C8" s="74">
        <v>1100.0</v>
      </c>
      <c r="D8" s="74">
        <v>30.0</v>
      </c>
    </row>
    <row r="9">
      <c r="A9" s="69"/>
      <c r="B9" s="74">
        <v>1100.0</v>
      </c>
      <c r="C9" s="74">
        <v>1500.0</v>
      </c>
      <c r="D9" s="74">
        <v>5.0</v>
      </c>
    </row>
    <row r="10">
      <c r="A10" s="69"/>
      <c r="B10" s="75"/>
      <c r="C10" s="69"/>
      <c r="D10" s="69"/>
    </row>
    <row r="11">
      <c r="A11" s="69"/>
      <c r="B11" s="69"/>
      <c r="C11" s="69"/>
      <c r="D11" s="69"/>
    </row>
    <row r="12">
      <c r="A12" s="69"/>
      <c r="B12" s="69"/>
      <c r="C12" s="69"/>
      <c r="D12" s="69"/>
    </row>
    <row r="13">
      <c r="A13" s="69"/>
      <c r="B13" s="69"/>
      <c r="C13" s="69"/>
      <c r="D13" s="69"/>
    </row>
    <row r="14">
      <c r="A14" s="69"/>
      <c r="B14" s="69"/>
      <c r="C14" s="69"/>
      <c r="D14" s="69"/>
    </row>
    <row r="15">
      <c r="A15" s="69"/>
      <c r="B15" s="69"/>
      <c r="C15" s="69"/>
      <c r="D15" s="69"/>
    </row>
    <row r="16">
      <c r="A16" s="69"/>
      <c r="B16" s="69"/>
      <c r="C16" s="69"/>
      <c r="D16" s="69"/>
    </row>
    <row r="17">
      <c r="A17" s="69"/>
      <c r="B17" s="69"/>
      <c r="C17" s="69"/>
      <c r="D17" s="69"/>
    </row>
    <row r="18">
      <c r="A18" s="69"/>
      <c r="B18" s="69"/>
      <c r="C18" s="69"/>
      <c r="D18" s="69"/>
    </row>
    <row r="19">
      <c r="A19" s="69"/>
      <c r="B19" s="69"/>
      <c r="C19" s="69"/>
      <c r="D19" s="69"/>
    </row>
    <row r="20">
      <c r="A20" s="69"/>
      <c r="B20" s="76"/>
      <c r="C20" s="69"/>
      <c r="D20" s="69"/>
    </row>
  </sheetData>
  <mergeCells count="1">
    <mergeCell ref="B2:C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5.43"/>
    <col customWidth="1" min="3" max="3" width="8.57"/>
    <col customWidth="1" min="5" max="5" width="13.71"/>
    <col customWidth="1" min="7" max="7" width="15.14"/>
    <col customWidth="1" min="8" max="8" width="16.0"/>
    <col customWidth="1" min="9" max="9" width="16.86"/>
    <col customWidth="1" min="10" max="26" width="10.71"/>
  </cols>
  <sheetData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</row>
    <row r="13">
      <c r="A13" s="77"/>
      <c r="B13" s="77"/>
      <c r="C13" s="77"/>
      <c r="D13" s="57" t="s">
        <v>102</v>
      </c>
      <c r="E13" s="57" t="s">
        <v>103</v>
      </c>
      <c r="F13" s="57" t="s">
        <v>104</v>
      </c>
      <c r="G13" s="57" t="s">
        <v>105</v>
      </c>
      <c r="H13" s="57" t="s">
        <v>106</v>
      </c>
      <c r="I13" s="57" t="s">
        <v>107</v>
      </c>
      <c r="J13" s="57" t="s">
        <v>108</v>
      </c>
      <c r="K13" s="77"/>
    </row>
    <row r="14">
      <c r="A14" s="77"/>
      <c r="B14" s="77"/>
      <c r="C14" s="77"/>
      <c r="D14" s="78">
        <v>0.0</v>
      </c>
      <c r="E14" s="78">
        <v>7.0</v>
      </c>
      <c r="F14" s="79">
        <f t="shared" ref="F14:F23" si="2">AVERAGE(D14:E14)</f>
        <v>3.5</v>
      </c>
      <c r="G14" s="61">
        <f t="array" ref="G14:G23">FREQUENCY('Datos depurados'!$U$2:$U$143,E14:E22)</f>
        <v>62</v>
      </c>
      <c r="H14" s="80">
        <f t="shared" ref="H14:H23" si="3">G14/$G$24</f>
        <v>0.4558823529</v>
      </c>
      <c r="I14" s="61">
        <f t="shared" ref="I14:J14" si="1">G14</f>
        <v>62</v>
      </c>
      <c r="J14" s="80">
        <f t="shared" si="1"/>
        <v>0.4558823529</v>
      </c>
      <c r="K14" s="77"/>
    </row>
    <row r="15">
      <c r="A15" s="49" t="s">
        <v>79</v>
      </c>
      <c r="B15" s="81">
        <f>min('Datos depurados'!$U$2:$U$143)</f>
        <v>0</v>
      </c>
      <c r="C15" s="77"/>
      <c r="D15" s="78">
        <v>7.0</v>
      </c>
      <c r="E15" s="78">
        <v>14.0</v>
      </c>
      <c r="F15" s="79">
        <f t="shared" si="2"/>
        <v>10.5</v>
      </c>
      <c r="G15" s="61">
        <v>34.0</v>
      </c>
      <c r="H15" s="80">
        <f t="shared" si="3"/>
        <v>0.25</v>
      </c>
      <c r="I15" s="61">
        <f t="shared" ref="I15:J15" si="4">I14+G15</f>
        <v>96</v>
      </c>
      <c r="J15" s="80">
        <f t="shared" si="4"/>
        <v>0.7058823529</v>
      </c>
      <c r="K15" s="77"/>
    </row>
    <row r="16">
      <c r="A16" s="49" t="s">
        <v>81</v>
      </c>
      <c r="B16" s="81">
        <f>MAX('Datos depurados'!$U$2:$U$143)</f>
        <v>70</v>
      </c>
      <c r="C16" s="77"/>
      <c r="D16" s="78">
        <v>14.0</v>
      </c>
      <c r="E16" s="78">
        <v>21.0</v>
      </c>
      <c r="F16" s="79">
        <f t="shared" si="2"/>
        <v>17.5</v>
      </c>
      <c r="G16" s="61">
        <v>13.0</v>
      </c>
      <c r="H16" s="80">
        <f t="shared" si="3"/>
        <v>0.09558823529</v>
      </c>
      <c r="I16" s="61">
        <f t="shared" ref="I16:J16" si="5">I15+G16</f>
        <v>109</v>
      </c>
      <c r="J16" s="80">
        <f t="shared" si="5"/>
        <v>0.8014705882</v>
      </c>
      <c r="K16" s="77"/>
    </row>
    <row r="17">
      <c r="A17" s="49" t="s">
        <v>109</v>
      </c>
      <c r="B17" s="81">
        <f>COUNT('Datos depurados'!$U$2:$U$143)</f>
        <v>136</v>
      </c>
      <c r="C17" s="77"/>
      <c r="D17" s="78">
        <v>21.0</v>
      </c>
      <c r="E17" s="78">
        <v>28.0</v>
      </c>
      <c r="F17" s="79">
        <f t="shared" si="2"/>
        <v>24.5</v>
      </c>
      <c r="G17" s="61">
        <v>2.0</v>
      </c>
      <c r="H17" s="80">
        <f t="shared" si="3"/>
        <v>0.01470588235</v>
      </c>
      <c r="I17" s="61">
        <f t="shared" ref="I17:J17" si="6">I16+G17</f>
        <v>111</v>
      </c>
      <c r="J17" s="80">
        <f t="shared" si="6"/>
        <v>0.8161764706</v>
      </c>
      <c r="K17" s="77"/>
    </row>
    <row r="18">
      <c r="A18" s="49"/>
      <c r="B18" s="82"/>
      <c r="C18" s="77"/>
      <c r="D18" s="78">
        <v>28.0</v>
      </c>
      <c r="E18" s="78">
        <v>35.0</v>
      </c>
      <c r="F18" s="79">
        <f t="shared" si="2"/>
        <v>31.5</v>
      </c>
      <c r="G18" s="61">
        <v>11.0</v>
      </c>
      <c r="H18" s="80">
        <f t="shared" si="3"/>
        <v>0.08088235294</v>
      </c>
      <c r="I18" s="61">
        <f t="shared" ref="I18:J18" si="7">I17+G18</f>
        <v>122</v>
      </c>
      <c r="J18" s="80">
        <f t="shared" si="7"/>
        <v>0.8970588235</v>
      </c>
      <c r="K18" s="77"/>
    </row>
    <row r="19">
      <c r="A19" s="49" t="s">
        <v>110</v>
      </c>
      <c r="B19" s="81">
        <v>10.0</v>
      </c>
      <c r="C19" s="77"/>
      <c r="D19" s="78">
        <v>35.0</v>
      </c>
      <c r="E19" s="78">
        <v>42.0</v>
      </c>
      <c r="F19" s="79">
        <f t="shared" si="2"/>
        <v>38.5</v>
      </c>
      <c r="G19" s="61">
        <v>0.0</v>
      </c>
      <c r="H19" s="80">
        <f t="shared" si="3"/>
        <v>0</v>
      </c>
      <c r="I19" s="61">
        <f t="shared" ref="I19:J19" si="8">I18+G19</f>
        <v>122</v>
      </c>
      <c r="J19" s="80">
        <f t="shared" si="8"/>
        <v>0.8970588235</v>
      </c>
      <c r="K19" s="77"/>
    </row>
    <row r="20">
      <c r="A20" s="49" t="s">
        <v>111</v>
      </c>
      <c r="B20" s="81">
        <v>7.0</v>
      </c>
      <c r="C20" s="77"/>
      <c r="D20" s="78">
        <v>42.0</v>
      </c>
      <c r="E20" s="78">
        <v>49.0</v>
      </c>
      <c r="F20" s="79">
        <f t="shared" si="2"/>
        <v>45.5</v>
      </c>
      <c r="G20" s="61">
        <v>0.0</v>
      </c>
      <c r="H20" s="80">
        <f t="shared" si="3"/>
        <v>0</v>
      </c>
      <c r="I20" s="61">
        <f t="shared" ref="I20:J20" si="9">I19+G20</f>
        <v>122</v>
      </c>
      <c r="J20" s="80">
        <f t="shared" si="9"/>
        <v>0.8970588235</v>
      </c>
      <c r="K20" s="77"/>
    </row>
    <row r="21" ht="15.75" customHeight="1">
      <c r="A21" s="77"/>
      <c r="B21" s="77"/>
      <c r="C21" s="77"/>
      <c r="D21" s="78">
        <v>49.0</v>
      </c>
      <c r="E21" s="78">
        <v>56.0</v>
      </c>
      <c r="F21" s="79">
        <f t="shared" si="2"/>
        <v>52.5</v>
      </c>
      <c r="G21" s="61">
        <v>3.0</v>
      </c>
      <c r="H21" s="80">
        <f t="shared" si="3"/>
        <v>0.02205882353</v>
      </c>
      <c r="I21" s="61">
        <f t="shared" ref="I21:J21" si="10">I20+G21</f>
        <v>125</v>
      </c>
      <c r="J21" s="80">
        <f t="shared" si="10"/>
        <v>0.9191176471</v>
      </c>
      <c r="K21" s="77"/>
    </row>
    <row r="22" ht="15.75" customHeight="1">
      <c r="A22" s="77"/>
      <c r="B22" s="77"/>
      <c r="C22" s="77"/>
      <c r="D22" s="78">
        <v>56.0</v>
      </c>
      <c r="E22" s="78">
        <v>63.0</v>
      </c>
      <c r="F22" s="79">
        <f t="shared" si="2"/>
        <v>59.5</v>
      </c>
      <c r="G22" s="61">
        <v>1.0</v>
      </c>
      <c r="H22" s="80">
        <f t="shared" si="3"/>
        <v>0.007352941176</v>
      </c>
      <c r="I22" s="61">
        <f t="shared" ref="I22:J22" si="11">I21+G22</f>
        <v>126</v>
      </c>
      <c r="J22" s="80">
        <f t="shared" si="11"/>
        <v>0.9264705882</v>
      </c>
      <c r="K22" s="77"/>
    </row>
    <row r="23" ht="15.75" customHeight="1">
      <c r="A23" s="77"/>
      <c r="B23" s="77"/>
      <c r="C23" s="77"/>
      <c r="D23" s="78">
        <v>63.0</v>
      </c>
      <c r="E23" s="78">
        <v>70.0</v>
      </c>
      <c r="F23" s="79">
        <f t="shared" si="2"/>
        <v>66.5</v>
      </c>
      <c r="G23" s="61">
        <v>10.0</v>
      </c>
      <c r="H23" s="80">
        <f t="shared" si="3"/>
        <v>0.07352941176</v>
      </c>
      <c r="I23" s="61">
        <f t="shared" ref="I23:J23" si="12">I22+G23</f>
        <v>136</v>
      </c>
      <c r="J23" s="80">
        <f t="shared" si="12"/>
        <v>1</v>
      </c>
      <c r="K23" s="77"/>
    </row>
    <row r="24" ht="15.75" customHeight="1">
      <c r="A24" s="77"/>
      <c r="B24" s="77"/>
      <c r="C24" s="77"/>
      <c r="D24" s="65" t="s">
        <v>98</v>
      </c>
      <c r="E24" s="66"/>
      <c r="F24" s="83"/>
      <c r="G24" s="83">
        <f t="shared" ref="G24:H24" si="13">SUM(G14:G23)</f>
        <v>136</v>
      </c>
      <c r="H24" s="84">
        <f t="shared" si="13"/>
        <v>1</v>
      </c>
      <c r="I24" s="83"/>
      <c r="J24" s="83"/>
      <c r="K24" s="77"/>
    </row>
    <row r="25" ht="15.75" customHeight="1">
      <c r="D25" s="85" t="s">
        <v>112</v>
      </c>
      <c r="E25" s="66"/>
      <c r="F25" s="86"/>
      <c r="G25" s="86"/>
      <c r="H25" s="86"/>
      <c r="I25" s="86"/>
      <c r="J25" s="8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B39" s="87"/>
      <c r="C39" s="88"/>
    </row>
    <row r="40" ht="15.75" customHeight="1">
      <c r="B40" s="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D71" s="1"/>
      <c r="E71" s="1"/>
      <c r="F71" s="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F80" s="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4:E24"/>
    <mergeCell ref="D25:E25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9"/>
      <c r="B1" s="90" t="s">
        <v>113</v>
      </c>
      <c r="C1" s="89"/>
      <c r="D1" s="89"/>
      <c r="E1" s="89"/>
      <c r="F1" s="89"/>
      <c r="G1" s="89"/>
      <c r="H1" s="89"/>
      <c r="I1" s="89"/>
      <c r="J1" s="89"/>
      <c r="K1" s="89"/>
    </row>
    <row r="2">
      <c r="A2" s="89"/>
      <c r="B2" s="89"/>
      <c r="C2" s="91" t="s">
        <v>113</v>
      </c>
      <c r="D2" s="89"/>
      <c r="E2" s="89"/>
      <c r="F2" s="89"/>
      <c r="G2" s="89"/>
      <c r="H2" s="89"/>
      <c r="I2" s="89"/>
      <c r="J2" s="89"/>
      <c r="K2" s="89"/>
    </row>
    <row r="3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</row>
    <row r="4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</row>
    <row r="5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</row>
    <row r="6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</row>
    <row r="7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</row>
    <row r="8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</row>
    <row r="9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</row>
    <row r="10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</row>
    <row r="11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</row>
    <row r="13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</row>
    <row r="14">
      <c r="A14" s="92">
        <v>0.0</v>
      </c>
      <c r="B14" s="93">
        <v>1.0</v>
      </c>
      <c r="C14" s="93">
        <v>3.0</v>
      </c>
      <c r="D14" s="93">
        <v>0.0</v>
      </c>
      <c r="E14" s="93">
        <v>4.0</v>
      </c>
      <c r="F14" s="93">
        <v>4.0</v>
      </c>
      <c r="G14" s="93">
        <v>3.0</v>
      </c>
      <c r="H14" s="93">
        <v>2.0</v>
      </c>
      <c r="I14" s="93">
        <v>3.0</v>
      </c>
      <c r="J14" s="94">
        <v>4.0</v>
      </c>
      <c r="K14" s="89"/>
    </row>
    <row r="15">
      <c r="A15" s="95">
        <v>2.0</v>
      </c>
      <c r="B15" s="96">
        <v>2.0</v>
      </c>
      <c r="C15" s="96">
        <v>0.0</v>
      </c>
      <c r="D15" s="96">
        <v>1.0</v>
      </c>
      <c r="E15" s="96">
        <v>2.0</v>
      </c>
      <c r="F15" s="96">
        <v>3.0</v>
      </c>
      <c r="G15" s="96">
        <v>1.0</v>
      </c>
      <c r="H15" s="96">
        <v>5.0</v>
      </c>
      <c r="I15" s="96">
        <v>3.0</v>
      </c>
      <c r="J15" s="97">
        <v>1.0</v>
      </c>
      <c r="K15" s="89"/>
    </row>
    <row r="16">
      <c r="A16" s="98">
        <v>4.0</v>
      </c>
      <c r="B16" s="99">
        <v>3.0</v>
      </c>
      <c r="C16" s="99">
        <v>4.0</v>
      </c>
      <c r="D16" s="99">
        <v>3.0</v>
      </c>
      <c r="E16" s="99">
        <v>2.0</v>
      </c>
      <c r="F16" s="99">
        <v>3.0</v>
      </c>
      <c r="G16" s="99">
        <v>3.0</v>
      </c>
      <c r="H16" s="99">
        <v>0.0</v>
      </c>
      <c r="I16" s="99">
        <v>3.0</v>
      </c>
      <c r="J16" s="100">
        <v>4.0</v>
      </c>
      <c r="K16" s="89"/>
    </row>
    <row r="17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</row>
    <row r="18">
      <c r="A18" s="89"/>
      <c r="B18" s="101"/>
      <c r="C18" s="89"/>
      <c r="D18" s="89"/>
      <c r="E18" s="89"/>
      <c r="F18" s="89"/>
      <c r="G18" s="89"/>
      <c r="H18" s="89"/>
      <c r="I18" s="89"/>
      <c r="J18" s="89"/>
      <c r="K18" s="89"/>
    </row>
    <row r="19">
      <c r="A19" s="101"/>
      <c r="B19" s="101"/>
      <c r="C19" s="101"/>
      <c r="D19" s="101"/>
      <c r="E19" s="101"/>
      <c r="F19" s="101"/>
      <c r="G19" s="89"/>
      <c r="H19" s="89"/>
      <c r="I19" s="89"/>
      <c r="J19" s="89"/>
      <c r="K19" s="89"/>
    </row>
    <row r="20">
      <c r="A20" s="101"/>
      <c r="B20" s="101"/>
      <c r="C20" s="101"/>
      <c r="D20" s="101"/>
      <c r="E20" s="101"/>
      <c r="F20" s="101"/>
      <c r="G20" s="89"/>
      <c r="H20" s="89"/>
      <c r="I20" s="89"/>
      <c r="J20" s="89"/>
      <c r="K20" s="89"/>
    </row>
    <row r="21">
      <c r="A21" s="101"/>
      <c r="B21" s="101"/>
      <c r="C21" s="101"/>
      <c r="D21" s="101"/>
      <c r="E21" s="101"/>
      <c r="F21" s="101"/>
      <c r="G21" s="89"/>
      <c r="H21" s="89"/>
      <c r="I21" s="89"/>
      <c r="J21" s="89"/>
      <c r="K21" s="89"/>
    </row>
    <row r="22">
      <c r="A22" s="101"/>
      <c r="B22" s="101"/>
      <c r="C22" s="101"/>
      <c r="D22" s="101"/>
      <c r="E22" s="101"/>
      <c r="F22" s="101"/>
      <c r="G22" s="89"/>
      <c r="H22" s="89"/>
      <c r="I22" s="89"/>
      <c r="J22" s="89"/>
      <c r="K22" s="89"/>
    </row>
    <row r="23">
      <c r="A23" s="101"/>
      <c r="B23" s="101"/>
      <c r="C23" s="101"/>
      <c r="D23" s="101"/>
      <c r="E23" s="101"/>
      <c r="F23" s="101"/>
      <c r="G23" s="89"/>
      <c r="H23" s="89"/>
      <c r="I23" s="89"/>
      <c r="J23" s="89"/>
      <c r="K23" s="8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86"/>
  </cols>
  <sheetData>
    <row r="18">
      <c r="A18" s="102" t="s">
        <v>114</v>
      </c>
      <c r="B18" s="103" t="s">
        <v>115</v>
      </c>
    </row>
    <row r="19">
      <c r="A19" s="104" t="s">
        <v>116</v>
      </c>
      <c r="B19" s="105">
        <v>10.0</v>
      </c>
    </row>
    <row r="20">
      <c r="A20" s="104" t="s">
        <v>117</v>
      </c>
      <c r="B20" s="105">
        <v>15.0</v>
      </c>
    </row>
    <row r="21">
      <c r="A21" s="104" t="s">
        <v>118</v>
      </c>
      <c r="B21" s="105">
        <v>35.0</v>
      </c>
    </row>
    <row r="22">
      <c r="A22" s="104" t="s">
        <v>119</v>
      </c>
      <c r="B22" s="105">
        <v>10.0</v>
      </c>
    </row>
    <row r="23">
      <c r="A23" s="104" t="s">
        <v>120</v>
      </c>
      <c r="B23" s="105">
        <v>5.0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2014-10-23T09:05:35Z</dcterms:created>
  <dc:creator>Unknown Creator</dc:creator>
</cp:coreProperties>
</file>
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E:\PARA COPIAR\estadistica_I\proyectoPID\practica1_2022\"/>
    </mc:Choice>
  </mc:AlternateContent>
  <bookViews>
    <workbookView xWindow="-15" yWindow="45" windowWidth="14190" windowHeight="8085" activeTab="8"/>
  </bookViews>
  <sheets>
    <sheet name="Variables" sheetId="6" r:id="rId1"/>
    <sheet name="Datos " sheetId="4" r:id="rId2"/>
    <sheet name="Datos depurados" sheetId="2" r:id="rId3"/>
    <sheet name="Lugar de residencia familiar" sheetId="5" r:id="rId4"/>
    <sheet name="Número de hermanos" sheetId="7" r:id="rId5"/>
    <sheet name="Estaturas" sheetId="9" r:id="rId6"/>
    <sheet name="Centro" sheetId="10" r:id="rId7"/>
    <sheet name="Deporte" sheetId="11" r:id="rId8"/>
    <sheet name="Horasred" sheetId="8" r:id="rId9"/>
  </sheets>
  <definedNames>
    <definedName name="ADSL">'Datos depurados'!$Q$2:$Q$143</definedName>
    <definedName name="Centronum">'Datos depurados'!$K$2:$K$143</definedName>
    <definedName name="Deporte">'Datos depurados'!$F$2:$F$143</definedName>
    <definedName name="Deportenum">'Datos depurados'!$F$2:$F$143</definedName>
    <definedName name="Estatura">Estaturas!$B$4:$B$86,Estaturas!$D$4:$D$56</definedName>
    <definedName name="Estatura_H">Estaturas!$B$4:$B$86</definedName>
    <definedName name="Estatura_M">Estaturas!$D$4:$D$56</definedName>
    <definedName name="Hermanos">'Datos depurados'!$H$2:$H$143</definedName>
    <definedName name="Horasred">'Datos depurados'!$U$2:$U$143</definedName>
    <definedName name="Nota.Bach.">'Datos depurados'!$M$2:$M$143</definedName>
    <definedName name="Notaglobal">'Datos depurados'!$N$2:$N$143</definedName>
    <definedName name="Ordenador">'Datos depurados'!$O$2:$O$143</definedName>
    <definedName name="Peso">'Datos depurados'!$E$2:$E$143</definedName>
    <definedName name="Redsocial">'Datos depurados'!$S$2:$S$143</definedName>
    <definedName name="Residencia">'Datos depurados'!$I$2:$I$143</definedName>
    <definedName name="sexo">'Datos depurados'!$B$2:$B$143</definedName>
  </definedNames>
  <calcPr calcId="162913"/>
</workbook>
</file>

<file path=xl/calcChain.xml><?xml version="1.0" encoding="utf-8"?>
<calcChain xmlns="http://schemas.openxmlformats.org/spreadsheetml/2006/main">
  <c r="D11" i="5" l="1"/>
  <c r="C13" i="7" l="1"/>
  <c r="E21" i="11" l="1"/>
  <c r="E16" i="11"/>
  <c r="E17" i="11"/>
  <c r="E18" i="11"/>
  <c r="E19" i="11"/>
  <c r="E15" i="11"/>
  <c r="E11" i="10"/>
  <c r="E9" i="10"/>
  <c r="E8" i="10"/>
  <c r="E10" i="10" s="1"/>
  <c r="F9" i="10" l="1"/>
  <c r="F8" i="10"/>
  <c r="E20" i="11"/>
  <c r="F20" i="11" s="1"/>
  <c r="G15" i="11"/>
  <c r="F13" i="9"/>
  <c r="G13" i="9" s="1"/>
  <c r="G4" i="9"/>
  <c r="G3" i="9"/>
  <c r="F17" i="11" l="1"/>
  <c r="F15" i="11"/>
  <c r="F19" i="11"/>
  <c r="F18" i="11"/>
  <c r="G16" i="11"/>
  <c r="F16" i="11"/>
  <c r="F14" i="9"/>
  <c r="G14" i="9" s="1"/>
  <c r="F15" i="9" s="1"/>
  <c r="G15" i="9" s="1"/>
  <c r="F16" i="9" s="1"/>
  <c r="G16" i="9" s="1"/>
  <c r="F17" i="9" s="1"/>
  <c r="G17" i="9" s="1"/>
  <c r="F18" i="9" s="1"/>
  <c r="G18" i="9" s="1"/>
  <c r="F19" i="9" s="1"/>
  <c r="G19" i="9" s="1"/>
  <c r="F20" i="9" s="1"/>
  <c r="G20" i="9" s="1"/>
  <c r="F21" i="9" s="1"/>
  <c r="G21" i="9" s="1"/>
  <c r="H13" i="9"/>
  <c r="I13" i="9" l="1" a="1"/>
  <c r="J13" i="9" a="1"/>
  <c r="G17" i="11"/>
  <c r="K13" i="9" a="1"/>
  <c r="H14" i="9"/>
  <c r="K14" i="9" l="1"/>
  <c r="K13" i="9"/>
  <c r="K16" i="9"/>
  <c r="K21" i="9"/>
  <c r="K19" i="9"/>
  <c r="K20" i="9"/>
  <c r="K15" i="9"/>
  <c r="K17" i="9"/>
  <c r="K18" i="9"/>
  <c r="G18" i="11"/>
  <c r="J16" i="9"/>
  <c r="J19" i="9"/>
  <c r="J21" i="9"/>
  <c r="J15" i="9"/>
  <c r="J17" i="9"/>
  <c r="J18" i="9"/>
  <c r="J13" i="9"/>
  <c r="J14" i="9"/>
  <c r="J20" i="9"/>
  <c r="I16" i="9"/>
  <c r="I19" i="9"/>
  <c r="I21" i="9"/>
  <c r="I15" i="9"/>
  <c r="I17" i="9"/>
  <c r="I18" i="9"/>
  <c r="I13" i="9"/>
  <c r="I14" i="9"/>
  <c r="I20" i="9"/>
  <c r="H15" i="9"/>
  <c r="I22" i="9" l="1"/>
  <c r="J22" i="9"/>
  <c r="K22" i="9"/>
  <c r="G19" i="11"/>
  <c r="H16" i="9"/>
  <c r="H19" i="11" l="1"/>
  <c r="H15" i="11"/>
  <c r="H16" i="11"/>
  <c r="H17" i="11"/>
  <c r="H18" i="11"/>
  <c r="H17" i="9"/>
  <c r="H18" i="9" l="1"/>
  <c r="H19" i="9" l="1"/>
  <c r="H20" i="9" l="1"/>
  <c r="H21" i="9" l="1"/>
  <c r="B17" i="8" l="1"/>
  <c r="B16" i="8" l="1"/>
  <c r="B15" i="8"/>
  <c r="D14" i="8" l="1"/>
  <c r="C7" i="7"/>
  <c r="C8" i="7"/>
  <c r="C9" i="7"/>
  <c r="C10" i="7"/>
  <c r="C11" i="7"/>
  <c r="C6" i="7"/>
  <c r="H144" i="2"/>
  <c r="F144" i="4"/>
  <c r="C2" i="7"/>
  <c r="C3" i="7"/>
  <c r="E6" i="7" l="1"/>
  <c r="E7" i="7" s="1"/>
  <c r="E14" i="8"/>
  <c r="C12" i="7"/>
  <c r="D15" i="8" l="1"/>
  <c r="F14" i="8"/>
  <c r="D8" i="7"/>
  <c r="D7" i="7"/>
  <c r="D6" i="7"/>
  <c r="D9" i="7"/>
  <c r="D11" i="7"/>
  <c r="F7" i="7"/>
  <c r="E8" i="7"/>
  <c r="D10" i="7"/>
  <c r="F6" i="7"/>
  <c r="G39" i="7" l="1"/>
  <c r="E15" i="8"/>
  <c r="F15" i="8" s="1"/>
  <c r="E9" i="7"/>
  <c r="F8" i="7"/>
  <c r="D12" i="7"/>
  <c r="D16" i="8" l="1"/>
  <c r="E10" i="7"/>
  <c r="F9" i="7"/>
  <c r="E16" i="8" l="1"/>
  <c r="F16" i="8" s="1"/>
  <c r="E11" i="7"/>
  <c r="F11" i="7" s="1"/>
  <c r="G38" i="7" s="1"/>
  <c r="F10" i="7"/>
  <c r="D17" i="8" l="1"/>
  <c r="D6" i="5"/>
  <c r="D7" i="5"/>
  <c r="D8" i="5"/>
  <c r="D5" i="5"/>
  <c r="J146" i="4"/>
  <c r="K146" i="4"/>
  <c r="L146" i="4"/>
  <c r="M146" i="4"/>
  <c r="N146" i="4"/>
  <c r="C146" i="4"/>
  <c r="D146" i="4"/>
  <c r="E146" i="4"/>
  <c r="F146" i="4"/>
  <c r="G146" i="4"/>
  <c r="H146" i="4"/>
  <c r="I146" i="4"/>
  <c r="B146" i="4"/>
  <c r="C145" i="4"/>
  <c r="E17" i="8" l="1"/>
  <c r="F17" i="8" s="1"/>
  <c r="D9" i="5"/>
  <c r="D18" i="8" l="1"/>
  <c r="E7" i="5"/>
  <c r="E8" i="5"/>
  <c r="E5" i="5"/>
  <c r="E6" i="5"/>
  <c r="E18" i="8" l="1"/>
  <c r="F18" i="8" s="1"/>
  <c r="E9" i="5"/>
  <c r="D19" i="8" l="1"/>
  <c r="E19" i="8" l="1"/>
  <c r="D20" i="8" s="1"/>
  <c r="F19" i="8" l="1"/>
  <c r="E20" i="8"/>
  <c r="D21" i="8" s="1"/>
  <c r="F20" i="8" l="1"/>
  <c r="E21" i="8"/>
  <c r="D22" i="8" s="1"/>
  <c r="F21" i="8" l="1"/>
  <c r="E22" i="8"/>
  <c r="D23" i="8" l="1"/>
  <c r="G14" i="8" a="1"/>
  <c r="F22" i="8"/>
  <c r="G14" i="8" l="1"/>
  <c r="G19" i="8"/>
  <c r="G16" i="8"/>
  <c r="G18" i="8"/>
  <c r="G20" i="8"/>
  <c r="G21" i="8"/>
  <c r="G23" i="8"/>
  <c r="G17" i="8"/>
  <c r="G15" i="8"/>
  <c r="G22" i="8"/>
  <c r="E23" i="8"/>
  <c r="F23" i="8" l="1"/>
  <c r="I14" i="8"/>
  <c r="G24" i="8"/>
  <c r="H17" i="8" s="1"/>
  <c r="H14" i="8" l="1"/>
  <c r="H18" i="8"/>
  <c r="H21" i="8"/>
  <c r="H15" i="8"/>
  <c r="H22" i="8"/>
  <c r="H20" i="8"/>
  <c r="H23" i="8"/>
  <c r="H19" i="8"/>
  <c r="H16" i="8"/>
  <c r="I15" i="8"/>
  <c r="H24" i="8" l="1"/>
  <c r="I16" i="8"/>
  <c r="I17" i="8" l="1"/>
  <c r="I18" i="8" l="1"/>
  <c r="I19" i="8" l="1"/>
  <c r="I20" i="8" l="1"/>
  <c r="I21" i="8" l="1"/>
  <c r="I22" i="8" l="1"/>
  <c r="I23" i="8" l="1"/>
  <c r="J22" i="8" s="1"/>
  <c r="J23" i="8" l="1"/>
  <c r="J14" i="8"/>
  <c r="J15" i="8"/>
  <c r="J16" i="8"/>
  <c r="J17" i="8"/>
  <c r="J18" i="8"/>
  <c r="J19" i="8"/>
  <c r="J20" i="8"/>
  <c r="J21" i="8"/>
  <c r="L18" i="9" l="1"/>
  <c r="L20" i="9"/>
  <c r="L14" i="9"/>
  <c r="L21" i="9"/>
  <c r="L17" i="9"/>
  <c r="L15" i="9"/>
  <c r="L19" i="9"/>
  <c r="L16" i="9"/>
  <c r="L13" i="9"/>
  <c r="M20" i="9"/>
  <c r="M14" i="9"/>
  <c r="M15" i="9"/>
  <c r="M21" i="9"/>
  <c r="M19" i="9"/>
  <c r="M18" i="9"/>
  <c r="M13" i="9"/>
  <c r="P13" i="9" s="1"/>
  <c r="P14" i="9" s="1"/>
  <c r="P15" i="9" s="1"/>
  <c r="P16" i="9" s="1"/>
  <c r="M16" i="9"/>
  <c r="M17" i="9"/>
  <c r="N14" i="9"/>
  <c r="N19" i="9"/>
  <c r="N21" i="9"/>
  <c r="N16" i="9"/>
  <c r="N20" i="9"/>
  <c r="N15" i="9"/>
  <c r="N18" i="9"/>
  <c r="N17" i="9"/>
  <c r="N13" i="9"/>
  <c r="Q13" i="9" s="1"/>
  <c r="Q14" i="9" s="1"/>
  <c r="Q15" i="9" l="1"/>
  <c r="Q16" i="9" s="1"/>
  <c r="Q17" i="9" s="1"/>
  <c r="Q18" i="9" s="1"/>
  <c r="Q19" i="9" s="1"/>
  <c r="Q20" i="9" s="1"/>
  <c r="Q21" i="9" s="1"/>
  <c r="H93" i="9" s="1"/>
  <c r="P17" i="9"/>
  <c r="P18" i="9" s="1"/>
  <c r="P19" i="9" s="1"/>
  <c r="P20" i="9" s="1"/>
  <c r="P21" i="9" s="1"/>
  <c r="H95" i="9"/>
  <c r="O13" i="9"/>
  <c r="O14" i="9" s="1"/>
  <c r="O15" i="9" s="1"/>
  <c r="O16" i="9" s="1"/>
  <c r="O17" i="9" s="1"/>
  <c r="O18" i="9" s="1"/>
  <c r="L22" i="9"/>
  <c r="M22" i="9"/>
  <c r="N22" i="9"/>
  <c r="O19" i="9" l="1"/>
  <c r="O20" i="9" s="1"/>
  <c r="O21" i="9" s="1"/>
  <c r="H91" i="9"/>
</calcChain>
</file>

<file path=xl/sharedStrings.xml><?xml version="1.0" encoding="utf-8"?>
<sst xmlns="http://schemas.openxmlformats.org/spreadsheetml/2006/main" count="2249" uniqueCount="125">
  <si>
    <t>Sexo</t>
  </si>
  <si>
    <t>Mujer</t>
  </si>
  <si>
    <t>Hombre</t>
  </si>
  <si>
    <t>Nunca</t>
  </si>
  <si>
    <t>Ocasionalmente (menos de 1 vez a la semana)</t>
  </si>
  <si>
    <t>Regularmente (1 o 2 veces a la semana)</t>
  </si>
  <si>
    <t>Frecuentemente (3 o 4 veces a la semana)</t>
  </si>
  <si>
    <t>Muy frecuentemente (5 veces a la semana o más)</t>
  </si>
  <si>
    <t>Zaragoza capital</t>
  </si>
  <si>
    <t>Zaragoza provincia (excepto Zaragoza capital)</t>
  </si>
  <si>
    <t>Aragón (provincias de Huesca o Teruel)</t>
  </si>
  <si>
    <t>Fuera de Aragón</t>
  </si>
  <si>
    <t>Público</t>
  </si>
  <si>
    <t>Concertado/Privado</t>
  </si>
  <si>
    <t>Sí</t>
  </si>
  <si>
    <t>No</t>
  </si>
  <si>
    <t>Estatura</t>
  </si>
  <si>
    <t>Peso</t>
  </si>
  <si>
    <t>Deporte</t>
  </si>
  <si>
    <t>Hermanos</t>
  </si>
  <si>
    <t>Residencia</t>
  </si>
  <si>
    <t>Centro</t>
  </si>
  <si>
    <t>Nota.Bach.</t>
  </si>
  <si>
    <t>Nota global</t>
  </si>
  <si>
    <t>Ordenador</t>
  </si>
  <si>
    <t>ADSL</t>
  </si>
  <si>
    <t>Red Social</t>
  </si>
  <si>
    <t>Horasred</t>
  </si>
  <si>
    <t>ERRÓNEOS I</t>
  </si>
  <si>
    <t>ERRÓNEOS II</t>
  </si>
  <si>
    <t>AUSENTES</t>
  </si>
  <si>
    <t>Número</t>
  </si>
  <si>
    <t>ELIMINADOS</t>
  </si>
  <si>
    <t>Nº individuo</t>
  </si>
  <si>
    <t>Nº individuo que realiza la encuesta</t>
  </si>
  <si>
    <t>Estatura en cm</t>
  </si>
  <si>
    <t>Peso en Kg</t>
  </si>
  <si>
    <t>Nº hermanos (incluido el alumno)</t>
  </si>
  <si>
    <t>Nota Bach.</t>
  </si>
  <si>
    <t>Nota media del bachillerato (sobre 10)</t>
  </si>
  <si>
    <t>Nota Sel.</t>
  </si>
  <si>
    <t>Nota global de la selectividad (sobre 14)</t>
  </si>
  <si>
    <t>Nº horas semanales actividad en redes sociales</t>
  </si>
  <si>
    <t>Tipo de centro en el que ha realizado los estudios a través de los que ha accedido a la Universidad (bachillerato, FP,...)  ( "Público";  "Concertado/Privado")</t>
  </si>
  <si>
    <t>Dispone de ordenador personal ( "SI";  "NO")</t>
  </si>
  <si>
    <t>Dispone de banda ancha (ADSL, Fibra,…) ("SI";  "NO")</t>
  </si>
  <si>
    <t>Es miembro de alguna red social ("SI";  "NO")</t>
  </si>
  <si>
    <t>Sexo ( "Hombre";  "Mujer")</t>
  </si>
  <si>
    <t>RedSocial</t>
  </si>
  <si>
    <t>Notaglobal</t>
  </si>
  <si>
    <t>X:Lugar de residencia familiar</t>
  </si>
  <si>
    <r>
      <t>n</t>
    </r>
    <r>
      <rPr>
        <b/>
        <vertAlign val="subscript"/>
        <sz val="12"/>
        <color indexed="16"/>
        <rFont val="Trebuchet MS"/>
        <family val="2"/>
      </rPr>
      <t>i</t>
    </r>
  </si>
  <si>
    <r>
      <t>f</t>
    </r>
    <r>
      <rPr>
        <b/>
        <vertAlign val="subscript"/>
        <sz val="12"/>
        <color indexed="16"/>
        <rFont val="Trebuchet MS"/>
        <family val="2"/>
      </rPr>
      <t>i</t>
    </r>
  </si>
  <si>
    <t>Total</t>
  </si>
  <si>
    <t>Ausentes</t>
  </si>
  <si>
    <t>Lugar de residencia familiar ("Zaragoza capital";  "Zaragoza provincia (excepto Zaragoza capital)"; "Aragón (provincias de Huesca o Teruel)";  "Fuera de Aragón")</t>
  </si>
  <si>
    <t>Residencia(num)</t>
  </si>
  <si>
    <t>Sexo(num)</t>
  </si>
  <si>
    <t>Deporte(num)</t>
  </si>
  <si>
    <t>Centro(num)</t>
  </si>
  <si>
    <t>Ordenador(num)</t>
  </si>
  <si>
    <t>ADSL(num)</t>
  </si>
  <si>
    <t>RedSocial(num)</t>
  </si>
  <si>
    <t>xi</t>
  </si>
  <si>
    <r>
      <t>x</t>
    </r>
    <r>
      <rPr>
        <b/>
        <i/>
        <vertAlign val="subscript"/>
        <sz val="12"/>
        <color indexed="16"/>
        <rFont val="Trebuchet MS"/>
        <family val="2"/>
      </rPr>
      <t>i</t>
    </r>
  </si>
  <si>
    <r>
      <t>n</t>
    </r>
    <r>
      <rPr>
        <b/>
        <i/>
        <vertAlign val="subscript"/>
        <sz val="12"/>
        <color indexed="16"/>
        <rFont val="Trebuchet MS"/>
        <family val="2"/>
      </rPr>
      <t>i</t>
    </r>
  </si>
  <si>
    <r>
      <t>f</t>
    </r>
    <r>
      <rPr>
        <b/>
        <i/>
        <vertAlign val="subscript"/>
        <sz val="12"/>
        <color indexed="16"/>
        <rFont val="Trebuchet MS"/>
        <family val="2"/>
      </rPr>
      <t>i</t>
    </r>
  </si>
  <si>
    <r>
      <t>N</t>
    </r>
    <r>
      <rPr>
        <b/>
        <i/>
        <vertAlign val="subscript"/>
        <sz val="12"/>
        <color indexed="16"/>
        <rFont val="Trebuchet MS"/>
        <family val="2"/>
      </rPr>
      <t>i</t>
    </r>
  </si>
  <si>
    <r>
      <t>F</t>
    </r>
    <r>
      <rPr>
        <b/>
        <i/>
        <vertAlign val="subscript"/>
        <sz val="12"/>
        <color indexed="16"/>
        <rFont val="Trebuchet MS"/>
        <family val="2"/>
      </rPr>
      <t>i</t>
    </r>
  </si>
  <si>
    <t>MÁXIMO</t>
  </si>
  <si>
    <t>MÍNIMO</t>
  </si>
  <si>
    <t>Mínimo</t>
  </si>
  <si>
    <t>Máximo</t>
  </si>
  <si>
    <t>N</t>
  </si>
  <si>
    <t>Número de intervalos</t>
  </si>
  <si>
    <t xml:space="preserve">Amplitud </t>
  </si>
  <si>
    <t>TOTALES</t>
  </si>
  <si>
    <t>PROMEDIOS</t>
  </si>
  <si>
    <r>
      <t>L</t>
    </r>
    <r>
      <rPr>
        <b/>
        <i/>
        <vertAlign val="subscript"/>
        <sz val="12"/>
        <color theme="5" tint="-0.499984740745262"/>
        <rFont val="Arial"/>
        <family val="2"/>
      </rPr>
      <t>i-1</t>
    </r>
  </si>
  <si>
    <r>
      <t>L</t>
    </r>
    <r>
      <rPr>
        <b/>
        <i/>
        <vertAlign val="subscript"/>
        <sz val="12"/>
        <color theme="5" tint="-0.499984740745262"/>
        <rFont val="Arial"/>
        <family val="2"/>
      </rPr>
      <t>i</t>
    </r>
  </si>
  <si>
    <r>
      <t>x</t>
    </r>
    <r>
      <rPr>
        <b/>
        <i/>
        <vertAlign val="subscript"/>
        <sz val="12"/>
        <color theme="5" tint="-0.499984740745262"/>
        <rFont val="Arial"/>
        <family val="2"/>
      </rPr>
      <t>i</t>
    </r>
  </si>
  <si>
    <r>
      <t>n</t>
    </r>
    <r>
      <rPr>
        <b/>
        <i/>
        <vertAlign val="subscript"/>
        <sz val="12"/>
        <color theme="5" tint="-0.499984740745262"/>
        <rFont val="Arial"/>
        <family val="2"/>
      </rPr>
      <t>i</t>
    </r>
  </si>
  <si>
    <r>
      <t>f</t>
    </r>
    <r>
      <rPr>
        <b/>
        <i/>
        <vertAlign val="subscript"/>
        <sz val="12"/>
        <color theme="5" tint="-0.499984740745262"/>
        <rFont val="Arial"/>
        <family val="2"/>
      </rPr>
      <t>i</t>
    </r>
  </si>
  <si>
    <r>
      <t>N</t>
    </r>
    <r>
      <rPr>
        <b/>
        <i/>
        <vertAlign val="subscript"/>
        <sz val="12"/>
        <color theme="5" tint="-0.499984740745262"/>
        <rFont val="Arial"/>
        <family val="2"/>
      </rPr>
      <t>i</t>
    </r>
  </si>
  <si>
    <r>
      <t>F</t>
    </r>
    <r>
      <rPr>
        <b/>
        <i/>
        <vertAlign val="subscript"/>
        <sz val="12"/>
        <color theme="5" tint="-0.499984740745262"/>
        <rFont val="Arial"/>
        <family val="2"/>
      </rPr>
      <t>i</t>
    </r>
  </si>
  <si>
    <t>Li-1</t>
  </si>
  <si>
    <t>Li</t>
  </si>
  <si>
    <t>ni (todos)</t>
  </si>
  <si>
    <t>ni (alumnos)</t>
  </si>
  <si>
    <t>ni (alumnas)</t>
  </si>
  <si>
    <t>fi (todos)</t>
  </si>
  <si>
    <t>fi (alumnos)</t>
  </si>
  <si>
    <t>fi (alumnas)</t>
  </si>
  <si>
    <t>Límite inf</t>
  </si>
  <si>
    <t>Límite sup</t>
  </si>
  <si>
    <t>Nº intervalos</t>
  </si>
  <si>
    <t>Amplitud</t>
  </si>
  <si>
    <t>X:Centro</t>
  </si>
  <si>
    <t xml:space="preserve">X=Frecuencia en la práctica </t>
  </si>
  <si>
    <t>de deporte</t>
  </si>
  <si>
    <t xml:space="preserve">Nunca </t>
  </si>
  <si>
    <t>Regularmente (1 ó 2 veces/semana)</t>
  </si>
  <si>
    <t>Ocasionalmente (Menos de 1 vez/semana)</t>
  </si>
  <si>
    <t>Frecuentemente (3 ó 4 veces/semana)</t>
  </si>
  <si>
    <t>Muy frecuentemente (5 o más veces/semana)</t>
  </si>
  <si>
    <t>Frecuencia con la que practica deporte ("Nunca"; Ocasionalmente (menos de una vez por semana); semana)"Regularmente (1 ó 2 veces por semana); "Frecuentemente (3 a 4 veces a la semana)"; "Muy frecuentemente 5 o más veces a la semana")</t>
  </si>
  <si>
    <t>% entre 160 y 180 cm</t>
  </si>
  <si>
    <t>% alumnas más de 1,80m</t>
  </si>
  <si>
    <t>Fi (todos)</t>
  </si>
  <si>
    <t>Fi(alumnos)</t>
  </si>
  <si>
    <t>Fi (alumnas)</t>
  </si>
  <si>
    <t>% de alumnos menos de 1,70</t>
  </si>
  <si>
    <t xml:space="preserve">Mal: </t>
  </si>
  <si>
    <t>Bien:</t>
  </si>
  <si>
    <t>% alumnos con al menos 2 hermanos = % alumnos que son al menos 3 hermanos</t>
  </si>
  <si>
    <r>
      <t>(100%-F</t>
    </r>
    <r>
      <rPr>
        <vertAlign val="subscript"/>
        <sz val="11"/>
        <color rgb="FF000000"/>
        <rFont val="Calibri"/>
        <family val="2"/>
      </rPr>
      <t>2</t>
    </r>
    <r>
      <rPr>
        <sz val="11"/>
        <color rgb="FF000000"/>
        <rFont val="Calibri"/>
        <family val="2"/>
      </rPr>
      <t>)</t>
    </r>
  </si>
  <si>
    <r>
      <t>(f</t>
    </r>
    <r>
      <rPr>
        <vertAlign val="subscript"/>
        <sz val="11"/>
        <color rgb="FF000000"/>
        <rFont val="Calibri"/>
        <family val="2"/>
      </rPr>
      <t>3</t>
    </r>
    <r>
      <rPr>
        <sz val="11"/>
        <color rgb="FF000000"/>
        <rFont val="Calibri"/>
        <family val="2"/>
      </rPr>
      <t>+f</t>
    </r>
    <r>
      <rPr>
        <vertAlign val="subscript"/>
        <sz val="11"/>
        <color rgb="FF000000"/>
        <rFont val="Calibri"/>
        <family val="2"/>
      </rPr>
      <t>4</t>
    </r>
    <r>
      <rPr>
        <sz val="11"/>
        <color rgb="FF000000"/>
        <rFont val="Calibri"/>
        <family val="2"/>
      </rPr>
      <t>+f</t>
    </r>
    <r>
      <rPr>
        <vertAlign val="subscript"/>
        <sz val="11"/>
        <color rgb="FF000000"/>
        <rFont val="Calibri"/>
        <family val="2"/>
      </rPr>
      <t>5</t>
    </r>
    <r>
      <rPr>
        <sz val="11"/>
        <color rgb="FF000000"/>
        <rFont val="Calibri"/>
        <family val="2"/>
      </rPr>
      <t>+f</t>
    </r>
    <r>
      <rPr>
        <vertAlign val="subscript"/>
        <sz val="11"/>
        <color rgb="FF000000"/>
        <rFont val="Calibri"/>
        <family val="2"/>
      </rPr>
      <t>6)</t>
    </r>
  </si>
  <si>
    <t>e)</t>
  </si>
  <si>
    <t>f)</t>
  </si>
  <si>
    <t>Variables auxiliares</t>
  </si>
  <si>
    <t>0 = Mujer                    1 = Hombre</t>
  </si>
  <si>
    <t>0 = Nunca                   1 = Ocasionalmente    2 = Regularmente    3 = Frecuentemente    4 = Muy frecuentemente</t>
  </si>
  <si>
    <t>0 = Zaragoza capital   1 = Zaragoza provincia    2 = Aragón    3 = Fuera de Aragón</t>
  </si>
  <si>
    <t>0 = Público                 1 = Concertado</t>
  </si>
  <si>
    <t>0 = No                        1 = 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</si>
</sst>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7" x14ac:knownFonts="1">
    <font>
      <sz val="11"/>
      <color rgb="FF000000"/>
      <name val="Calibri"/>
    </font>
    <font>
      <sz val="10"/>
      <color rgb="FF000000"/>
      <name val="Arial"/>
      <family val="2"/>
    </font>
    <font>
      <b/>
      <sz val="10"/>
      <color rgb="FF000000"/>
      <name val="Arial"/>
      <family val="2"/>
    </font>
    <font>
      <sz val="11"/>
      <color rgb="FF000000"/>
      <name val="Calibri"/>
      <family val="2"/>
    </font>
    <font>
      <b/>
      <sz val="10"/>
      <color rgb="FF000000"/>
      <name val="Arial"/>
      <family val="2"/>
    </font>
    <font>
      <b/>
      <sz val="11"/>
      <color rgb="FF000000"/>
      <name val="Calibri"/>
      <family val="2"/>
    </font>
    <font>
      <sz val="11"/>
      <color rgb="FF000000"/>
      <name val="Calibri"/>
      <family val="2"/>
    </font>
    <font>
      <sz val="10"/>
      <color rgb="FF000000"/>
      <name val="Arial"/>
      <family val="2"/>
    </font>
    <font>
      <b/>
      <i/>
      <sz val="12"/>
      <color indexed="9"/>
      <name val="Trebuchet MS"/>
      <family val="2"/>
    </font>
    <font>
      <b/>
      <sz val="10"/>
      <name val="Trebuchet MS"/>
      <family val="2"/>
    </font>
    <font>
      <b/>
      <sz val="16"/>
      <color indexed="16"/>
      <name val="Trebuchet MS"/>
      <family val="2"/>
    </font>
    <font>
      <b/>
      <sz val="12"/>
      <color indexed="16"/>
      <name val="Trebuchet MS"/>
      <family val="2"/>
    </font>
    <font>
      <b/>
      <vertAlign val="subscript"/>
      <sz val="12"/>
      <color indexed="16"/>
      <name val="Trebuchet MS"/>
      <family val="2"/>
    </font>
    <font>
      <b/>
      <sz val="12"/>
      <name val="Trebuchet MS"/>
      <family val="2"/>
    </font>
    <font>
      <sz val="12"/>
      <name val="Trebuchet MS"/>
      <family val="2"/>
    </font>
    <font>
      <sz val="12"/>
      <color rgb="FF000000"/>
      <name val="Calibri"/>
      <family val="2"/>
    </font>
    <font>
      <b/>
      <sz val="12"/>
      <color rgb="FF000000"/>
      <name val="Calibri"/>
      <family val="2"/>
    </font>
    <font>
      <b/>
      <i/>
      <sz val="12"/>
      <color indexed="16"/>
      <name val="Trebuchet MS"/>
      <family val="2"/>
    </font>
    <font>
      <b/>
      <i/>
      <vertAlign val="subscript"/>
      <sz val="12"/>
      <color indexed="16"/>
      <name val="Trebuchet MS"/>
      <family val="2"/>
    </font>
    <font>
      <sz val="12"/>
      <name val="Calibri"/>
      <family val="2"/>
    </font>
    <font>
      <sz val="12"/>
      <color rgb="FF000000"/>
      <name val="Arial"/>
      <family val="2"/>
    </font>
    <font>
      <b/>
      <sz val="12"/>
      <name val="Arial"/>
      <family val="2"/>
    </font>
    <font>
      <b/>
      <sz val="12"/>
      <color rgb="FF000000"/>
      <name val="Arial"/>
      <family val="2"/>
    </font>
    <font>
      <b/>
      <sz val="12"/>
      <color theme="0"/>
      <name val="Arial"/>
      <family val="2"/>
    </font>
    <font>
      <b/>
      <sz val="11"/>
      <color theme="0"/>
      <name val="Calibri"/>
      <family val="2"/>
    </font>
    <font>
      <b/>
      <i/>
      <sz val="12"/>
      <color theme="5" tint="-0.499984740745262"/>
      <name val="Arial"/>
      <family val="2"/>
    </font>
    <font>
      <b/>
      <i/>
      <vertAlign val="subscript"/>
      <sz val="12"/>
      <color theme="5" tint="-0.499984740745262"/>
      <name val="Arial"/>
      <family val="2"/>
    </font>
    <font>
      <b/>
      <sz val="12"/>
      <color rgb="FFC00000"/>
      <name val="Arial"/>
      <family val="2"/>
    </font>
    <font>
      <b/>
      <sz val="12"/>
      <color indexed="60"/>
      <name val="Calibri"/>
      <family val="2"/>
      <scheme val="minor"/>
    </font>
    <font>
      <sz val="12"/>
      <color rgb="FF000000"/>
      <name val="Calibri"/>
      <family val="2"/>
      <scheme val="minor"/>
    </font>
    <font>
      <b/>
      <sz val="12"/>
      <color rgb="FF000000"/>
      <name val="Calibri"/>
      <family val="2"/>
      <scheme val="minor"/>
    </font>
    <font>
      <sz val="11"/>
      <color rgb="FFFF0000"/>
      <name val="Calibri"/>
      <family val="2"/>
    </font>
    <font>
      <b/>
      <i/>
      <sz val="14"/>
      <color indexed="16"/>
      <name val="Trebuchet MS"/>
      <family val="2"/>
    </font>
    <font>
      <b/>
      <sz val="11"/>
      <color rgb="FFFF0000"/>
      <name val="Calibri"/>
      <family val="2"/>
    </font>
    <font>
      <b/>
      <sz val="11"/>
      <color rgb="FF00B050"/>
      <name val="Calibri"/>
      <family val="2"/>
    </font>
    <font>
      <vertAlign val="subscript"/>
      <sz val="11"/>
      <color rgb="FF000000"/>
      <name val="Calibri"/>
      <family val="2"/>
    </font>
    <font>
      <b/>
      <sz val="14"/>
      <color rgb="FF000000"/>
      <name val="Calibri"/>
      <family val="2"/>
    </font>
  </fonts>
  <fills count="19">
    <fill>
      <patternFill patternType="none"/>
    </fill>
    <fill>
      <patternFill patternType="gray125"/>
    </fill>
    <fill>
      <patternFill patternType="solid">
        <fgColor theme="5"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0070C0"/>
        <bgColor indexed="64"/>
      </patternFill>
    </fill>
    <fill>
      <patternFill patternType="solid">
        <fgColor theme="0"/>
        <bgColor indexed="64"/>
      </patternFill>
    </fill>
    <fill>
      <patternFill patternType="solid">
        <fgColor indexed="48"/>
        <bgColor indexed="64"/>
      </patternFill>
    </fill>
    <fill>
      <patternFill patternType="solid">
        <fgColor indexed="44"/>
        <bgColor indexed="64"/>
      </patternFill>
    </fill>
    <fill>
      <patternFill patternType="solid">
        <fgColor indexed="43"/>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00B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3" fillId="0" borderId="0" applyFont="0" applyFill="0" applyBorder="0" applyAlignment="0" applyProtection="0"/>
    <xf numFmtId="0" fontId="3" fillId="0" borderId="0"/>
  </cellStyleXfs>
  <cellXfs count="104">
    <xf numFmtId="0" fontId="0" fillId="0" borderId="0" xfId="0"/>
    <xf numFmtId="0" fontId="0" fillId="0" borderId="1" xfId="0" applyBorder="1" applyAlignment="1">
      <alignment horizontal="center"/>
    </xf>
    <xf numFmtId="49" fontId="1" fillId="0" borderId="1" xfId="0" applyNumberFormat="1" applyFont="1" applyBorder="1" applyAlignment="1">
      <alignment horizontal="center" vertical="top"/>
    </xf>
    <xf numFmtId="0" fontId="1" fillId="2" borderId="1" xfId="0" applyFont="1" applyFill="1" applyBorder="1" applyAlignment="1">
      <alignment horizontal="center" vertical="top"/>
    </xf>
    <xf numFmtId="0" fontId="1" fillId="0" borderId="1" xfId="0" applyFont="1" applyBorder="1" applyAlignment="1">
      <alignment horizontal="center" vertical="top"/>
    </xf>
    <xf numFmtId="0" fontId="1" fillId="7" borderId="1" xfId="0" applyFont="1" applyFill="1" applyBorder="1" applyAlignment="1">
      <alignment horizontal="center" vertical="top"/>
    </xf>
    <xf numFmtId="0" fontId="0" fillId="11" borderId="1" xfId="0" applyFill="1" applyBorder="1" applyAlignment="1">
      <alignment horizontal="center"/>
    </xf>
    <xf numFmtId="0" fontId="1" fillId="6" borderId="1" xfId="0" applyFont="1" applyFill="1" applyBorder="1" applyAlignment="1">
      <alignment horizontal="center" vertical="top"/>
    </xf>
    <xf numFmtId="49" fontId="4" fillId="7" borderId="1" xfId="0" applyNumberFormat="1" applyFont="1" applyFill="1" applyBorder="1" applyAlignment="1">
      <alignment horizontal="center" vertical="center"/>
    </xf>
    <xf numFmtId="0" fontId="0" fillId="7" borderId="1" xfId="0" applyFill="1" applyBorder="1" applyAlignment="1">
      <alignment horizontal="center"/>
    </xf>
    <xf numFmtId="0" fontId="5" fillId="7" borderId="1" xfId="0" applyFont="1" applyFill="1" applyBorder="1" applyAlignment="1">
      <alignment horizontal="center" vertical="center"/>
    </xf>
    <xf numFmtId="0" fontId="0" fillId="7" borderId="1" xfId="0" applyFill="1" applyBorder="1" applyAlignment="1">
      <alignment horizontal="center" vertical="center"/>
    </xf>
    <xf numFmtId="49" fontId="4" fillId="6" borderId="1" xfId="0" applyNumberFormat="1" applyFont="1" applyFill="1" applyBorder="1" applyAlignment="1">
      <alignment horizontal="center" vertical="center"/>
    </xf>
    <xf numFmtId="0" fontId="0" fillId="6" borderId="1" xfId="0" applyFill="1" applyBorder="1" applyAlignment="1">
      <alignment horizontal="center"/>
    </xf>
    <xf numFmtId="0" fontId="0" fillId="6" borderId="1" xfId="0" applyFill="1" applyBorder="1" applyAlignment="1">
      <alignment horizontal="center" vertical="center"/>
    </xf>
    <xf numFmtId="49" fontId="4" fillId="11" borderId="1" xfId="0" applyNumberFormat="1" applyFont="1" applyFill="1" applyBorder="1" applyAlignment="1">
      <alignment horizontal="center" vertical="center"/>
    </xf>
    <xf numFmtId="0" fontId="1" fillId="12" borderId="1" xfId="0" applyFont="1" applyFill="1" applyBorder="1" applyAlignment="1">
      <alignment horizontal="center" vertical="top"/>
    </xf>
    <xf numFmtId="0" fontId="0" fillId="12" borderId="1" xfId="0" applyFill="1" applyBorder="1" applyAlignment="1">
      <alignment horizontal="center"/>
    </xf>
    <xf numFmtId="49" fontId="1" fillId="12" borderId="1" xfId="0" applyNumberFormat="1" applyFont="1" applyFill="1" applyBorder="1" applyAlignment="1">
      <alignment horizontal="center" vertical="top"/>
    </xf>
    <xf numFmtId="0" fontId="8" fillId="13" borderId="1" xfId="0" applyFont="1" applyFill="1" applyBorder="1" applyAlignment="1">
      <alignment horizontal="left" vertical="top" wrapText="1"/>
    </xf>
    <xf numFmtId="0" fontId="9" fillId="4" borderId="1" xfId="0" applyFont="1" applyFill="1" applyBorder="1" applyAlignment="1">
      <alignment vertical="top" wrapText="1"/>
    </xf>
    <xf numFmtId="0" fontId="10" fillId="14" borderId="1" xfId="0" applyFont="1" applyFill="1" applyBorder="1" applyAlignment="1">
      <alignment horizontal="center"/>
    </xf>
    <xf numFmtId="0" fontId="11" fillId="14" borderId="1" xfId="0" applyFont="1" applyFill="1" applyBorder="1" applyAlignment="1">
      <alignment horizontal="center"/>
    </xf>
    <xf numFmtId="0" fontId="13" fillId="14" borderId="1" xfId="0" applyFont="1" applyFill="1" applyBorder="1" applyAlignment="1">
      <alignment horizontal="center"/>
    </xf>
    <xf numFmtId="0" fontId="14" fillId="0" borderId="1" xfId="0" applyFont="1" applyBorder="1" applyAlignment="1">
      <alignment horizontal="center"/>
    </xf>
    <xf numFmtId="10" fontId="14" fillId="0" borderId="1" xfId="0" applyNumberFormat="1" applyFont="1" applyBorder="1" applyAlignment="1">
      <alignment horizontal="center"/>
    </xf>
    <xf numFmtId="0" fontId="13" fillId="15" borderId="1" xfId="0" applyFont="1" applyFill="1" applyBorder="1" applyAlignment="1">
      <alignment horizontal="center"/>
    </xf>
    <xf numFmtId="49" fontId="7" fillId="0" borderId="1" xfId="0" applyNumberFormat="1" applyFont="1" applyBorder="1" applyAlignment="1">
      <alignment horizontal="center" vertical="top"/>
    </xf>
    <xf numFmtId="0" fontId="13" fillId="8" borderId="2" xfId="0" applyFont="1" applyFill="1" applyBorder="1" applyAlignment="1">
      <alignment horizontal="center"/>
    </xf>
    <xf numFmtId="0" fontId="14" fillId="8" borderId="2" xfId="0" applyFont="1" applyFill="1" applyBorder="1" applyAlignment="1">
      <alignment horizontal="center"/>
    </xf>
    <xf numFmtId="9" fontId="13" fillId="15" borderId="1" xfId="1" applyFont="1" applyFill="1" applyBorder="1" applyAlignment="1">
      <alignment horizontal="center"/>
    </xf>
    <xf numFmtId="49" fontId="0" fillId="0" borderId="0" xfId="0" applyNumberFormat="1"/>
    <xf numFmtId="49" fontId="6" fillId="0" borderId="0" xfId="0" applyNumberFormat="1" applyFont="1"/>
    <xf numFmtId="0" fontId="13" fillId="12" borderId="1" xfId="0" applyFont="1" applyFill="1" applyBorder="1" applyAlignment="1">
      <alignment horizontal="center"/>
    </xf>
    <xf numFmtId="0" fontId="16" fillId="10" borderId="0" xfId="0" applyFont="1" applyFill="1"/>
    <xf numFmtId="0" fontId="17" fillId="14" borderId="1" xfId="0" applyFont="1" applyFill="1" applyBorder="1" applyAlignment="1">
      <alignment horizontal="center"/>
    </xf>
    <xf numFmtId="0" fontId="15" fillId="9" borderId="0" xfId="0" applyFont="1" applyFill="1"/>
    <xf numFmtId="0" fontId="15" fillId="11" borderId="0" xfId="0" applyFont="1" applyFill="1"/>
    <xf numFmtId="0" fontId="0" fillId="0" borderId="0" xfId="0" applyBorder="1"/>
    <xf numFmtId="0" fontId="6" fillId="0" borderId="0" xfId="0" applyFont="1"/>
    <xf numFmtId="0" fontId="20" fillId="0" borderId="0" xfId="0" applyFont="1"/>
    <xf numFmtId="2" fontId="21" fillId="0" borderId="0" xfId="0" applyNumberFormat="1" applyFont="1" applyAlignment="1">
      <alignment horizontal="center"/>
    </xf>
    <xf numFmtId="0" fontId="21" fillId="0" borderId="0" xfId="0" applyFont="1"/>
    <xf numFmtId="0" fontId="22" fillId="2" borderId="1" xfId="0" applyFont="1" applyFill="1" applyBorder="1"/>
    <xf numFmtId="0" fontId="25" fillId="17" borderId="1" xfId="0" applyFont="1" applyFill="1" applyBorder="1" applyAlignment="1">
      <alignment horizontal="center"/>
    </xf>
    <xf numFmtId="0" fontId="20" fillId="0" borderId="1" xfId="0" applyFont="1" applyBorder="1" applyAlignment="1">
      <alignment horizontal="center" vertical="center"/>
    </xf>
    <xf numFmtId="10" fontId="20" fillId="0" borderId="1" xfId="1" applyNumberFormat="1" applyFont="1" applyBorder="1" applyAlignment="1">
      <alignment horizontal="center" vertical="center"/>
    </xf>
    <xf numFmtId="0" fontId="27" fillId="0" borderId="1" xfId="0" applyFont="1" applyBorder="1" applyAlignment="1">
      <alignment horizontal="center" vertical="center"/>
    </xf>
    <xf numFmtId="0" fontId="22" fillId="7" borderId="1" xfId="0" applyFont="1" applyFill="1" applyBorder="1" applyAlignment="1">
      <alignment horizontal="center"/>
    </xf>
    <xf numFmtId="9" fontId="22" fillId="7" borderId="1" xfId="1" applyFont="1" applyFill="1" applyBorder="1" applyAlignment="1">
      <alignment horizontal="center"/>
    </xf>
    <xf numFmtId="0" fontId="24" fillId="16" borderId="1" xfId="0" applyFont="1" applyFill="1" applyBorder="1" applyAlignment="1">
      <alignment horizontal="center"/>
    </xf>
    <xf numFmtId="0" fontId="0" fillId="12" borderId="0" xfId="0" applyFill="1" applyBorder="1"/>
    <xf numFmtId="0" fontId="28" fillId="14" borderId="1" xfId="0" applyFont="1" applyFill="1" applyBorder="1" applyAlignment="1">
      <alignment horizontal="center"/>
    </xf>
    <xf numFmtId="0" fontId="29" fillId="0" borderId="0" xfId="0" applyFont="1"/>
    <xf numFmtId="0" fontId="30" fillId="10" borderId="0" xfId="0" applyFont="1" applyFill="1"/>
    <xf numFmtId="0" fontId="29" fillId="9" borderId="0" xfId="0" applyFont="1" applyFill="1"/>
    <xf numFmtId="10" fontId="29" fillId="0" borderId="0" xfId="1" applyNumberFormat="1" applyFont="1"/>
    <xf numFmtId="49" fontId="2" fillId="3" borderId="1" xfId="0" applyNumberFormat="1" applyFont="1" applyFill="1" applyBorder="1" applyAlignment="1">
      <alignment horizontal="center"/>
    </xf>
    <xf numFmtId="0" fontId="5" fillId="3" borderId="1" xfId="0" applyFont="1" applyFill="1" applyBorder="1" applyAlignment="1">
      <alignment horizontal="center"/>
    </xf>
    <xf numFmtId="49" fontId="4" fillId="3" borderId="1" xfId="0" applyNumberFormat="1" applyFont="1" applyFill="1" applyBorder="1" applyAlignment="1">
      <alignment horizontal="center"/>
    </xf>
    <xf numFmtId="0" fontId="3" fillId="0" borderId="0" xfId="0" applyFont="1"/>
    <xf numFmtId="0" fontId="3" fillId="0" borderId="0" xfId="0" applyFont="1" applyFill="1" applyBorder="1"/>
    <xf numFmtId="164" fontId="0" fillId="0" borderId="0" xfId="0" applyNumberFormat="1"/>
    <xf numFmtId="2" fontId="0" fillId="0" borderId="0" xfId="0" applyNumberFormat="1"/>
    <xf numFmtId="10" fontId="0" fillId="0" borderId="0" xfId="1" applyNumberFormat="1" applyFont="1"/>
    <xf numFmtId="10" fontId="0" fillId="0" borderId="0" xfId="0" applyNumberFormat="1"/>
    <xf numFmtId="10" fontId="31" fillId="0" borderId="0" xfId="1" applyNumberFormat="1" applyFont="1"/>
    <xf numFmtId="0" fontId="19" fillId="5" borderId="0" xfId="0" applyFont="1" applyFill="1" applyAlignment="1">
      <alignment horizontal="center"/>
    </xf>
    <xf numFmtId="0" fontId="5" fillId="0" borderId="0" xfId="0" applyFont="1" applyAlignment="1">
      <alignment horizontal="right"/>
    </xf>
    <xf numFmtId="10" fontId="3" fillId="0" borderId="0" xfId="1" applyNumberFormat="1" applyFont="1"/>
    <xf numFmtId="0" fontId="20" fillId="0" borderId="1" xfId="0" applyFont="1" applyBorder="1"/>
    <xf numFmtId="10" fontId="20" fillId="0" borderId="1" xfId="1" applyNumberFormat="1" applyFont="1" applyBorder="1"/>
    <xf numFmtId="0" fontId="22" fillId="7" borderId="1" xfId="0" applyFont="1" applyFill="1" applyBorder="1" applyAlignment="1">
      <alignment horizontal="right"/>
    </xf>
    <xf numFmtId="9" fontId="22" fillId="7" borderId="1" xfId="1" applyFont="1" applyFill="1" applyBorder="1" applyAlignment="1">
      <alignment horizontal="right"/>
    </xf>
    <xf numFmtId="0" fontId="22" fillId="2" borderId="1" xfId="0" applyFont="1" applyFill="1" applyBorder="1" applyAlignment="1">
      <alignment horizontal="right"/>
    </xf>
    <xf numFmtId="0" fontId="0" fillId="0" borderId="0" xfId="0" applyAlignment="1">
      <alignment horizontal="right"/>
    </xf>
    <xf numFmtId="0" fontId="32" fillId="0" borderId="5" xfId="0" applyFont="1" applyFill="1" applyBorder="1"/>
    <xf numFmtId="0" fontId="32" fillId="0" borderId="6" xfId="0" applyFont="1" applyFill="1" applyBorder="1" applyAlignment="1">
      <alignment horizontal="center"/>
    </xf>
    <xf numFmtId="0" fontId="28" fillId="7" borderId="1" xfId="0" applyFont="1" applyFill="1" applyBorder="1" applyAlignment="1">
      <alignment horizontal="center"/>
    </xf>
    <xf numFmtId="0" fontId="29" fillId="0" borderId="7" xfId="0" applyFont="1" applyBorder="1"/>
    <xf numFmtId="0" fontId="29" fillId="0" borderId="8" xfId="0" applyFont="1" applyBorder="1"/>
    <xf numFmtId="10" fontId="29" fillId="0" borderId="8" xfId="1" applyNumberFormat="1" applyFont="1" applyBorder="1"/>
    <xf numFmtId="10" fontId="29" fillId="0" borderId="9" xfId="1" applyNumberFormat="1" applyFont="1" applyBorder="1"/>
    <xf numFmtId="0" fontId="29" fillId="0" borderId="10" xfId="0" applyFont="1" applyBorder="1"/>
    <xf numFmtId="0" fontId="29" fillId="0" borderId="0" xfId="0" applyFont="1" applyBorder="1"/>
    <xf numFmtId="10" fontId="29" fillId="0" borderId="0" xfId="1" applyNumberFormat="1" applyFont="1" applyBorder="1"/>
    <xf numFmtId="10" fontId="29" fillId="0" borderId="11" xfId="1" applyNumberFormat="1" applyFont="1" applyBorder="1"/>
    <xf numFmtId="0" fontId="29" fillId="0" borderId="12" xfId="0" applyFont="1" applyBorder="1"/>
    <xf numFmtId="0" fontId="29" fillId="0" borderId="13" xfId="0" applyFont="1" applyBorder="1"/>
    <xf numFmtId="10" fontId="29" fillId="0" borderId="13" xfId="1" applyNumberFormat="1" applyFont="1" applyBorder="1"/>
    <xf numFmtId="10" fontId="29" fillId="0" borderId="14" xfId="1" applyNumberFormat="1" applyFont="1" applyBorder="1"/>
    <xf numFmtId="0" fontId="25" fillId="17" borderId="2" xfId="0" applyFont="1" applyFill="1" applyBorder="1" applyAlignment="1">
      <alignment horizontal="center"/>
    </xf>
    <xf numFmtId="10" fontId="33" fillId="0" borderId="0" xfId="0" applyNumberFormat="1" applyFont="1"/>
    <xf numFmtId="10" fontId="34" fillId="0" borderId="0" xfId="0" applyNumberFormat="1" applyFont="1"/>
    <xf numFmtId="0" fontId="22" fillId="7" borderId="4" xfId="0" applyFont="1" applyFill="1" applyBorder="1" applyAlignment="1">
      <alignment horizontal="center"/>
    </xf>
    <xf numFmtId="0" fontId="5" fillId="7" borderId="3" xfId="0" applyFont="1" applyFill="1" applyBorder="1" applyAlignment="1">
      <alignment horizontal="center"/>
    </xf>
    <xf numFmtId="0" fontId="17" fillId="14" borderId="5" xfId="0" applyFont="1" applyFill="1" applyBorder="1" applyAlignment="1">
      <alignment horizontal="center"/>
    </xf>
    <xf numFmtId="0" fontId="0" fillId="0" borderId="6" xfId="0" applyBorder="1" applyAlignment="1">
      <alignment horizontal="center"/>
    </xf>
    <xf numFmtId="0" fontId="23" fillId="16" borderId="4" xfId="0" applyFont="1" applyFill="1" applyBorder="1" applyAlignment="1">
      <alignment horizontal="center"/>
    </xf>
    <xf numFmtId="0" fontId="23" fillId="16" borderId="3" xfId="0" applyFont="1" applyFill="1" applyBorder="1" applyAlignment="1">
      <alignment horizontal="center"/>
    </xf>
    <xf numFmtId="0" fontId="36" fillId="0" borderId="0" xfId="2" applyFont="1"/>
    <xf numFmtId="0" fontId="3" fillId="0" borderId="0" xfId="2"/>
    <xf numFmtId="0" fontId="8" fillId="18" borderId="1" xfId="2" applyFont="1" applyFill="1" applyBorder="1" applyAlignment="1">
      <alignment horizontal="left" vertical="top" wrapText="1"/>
    </xf>
    <xf numFmtId="0" fontId="9" fillId="4" borderId="1" xfId="2" applyFont="1" applyFill="1" applyBorder="1" applyAlignment="1">
      <alignment vertical="top" wrapText="1"/>
    </xf>
  </cellXfs>
  <cellStyles count="3">
    <cellStyle name="Normal" xfId="0" builtinId="0"/>
    <cellStyle name="Normal 2" xfId="2"/>
    <cellStyle name="Porcentaje" xfId="1" builtinId="5"/>
  </cellStyles>
  <dxfs count="0"/>
  <tableStyles count="0" defaultTableStyle="TableStyleMedium9"/>
  <colors>
    <mruColors>
      <color rgb="FFD8E4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Distribución del</a:t>
            </a:r>
            <a:r>
              <a:rPr lang="es-ES" baseline="0"/>
              <a:t> lugar de residencia familiar  de los estudiantes de GECO</a:t>
            </a:r>
            <a:endParaRPr lang="es-ES"/>
          </a:p>
        </c:rich>
      </c:tx>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dLbls>
            <c:numFmt formatCode="#.000%" sourceLinked="0"/>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'Lugar de residencia familiar'!$B$5:$B$8</c:f>
              <c:strCache>
                <c:ptCount val="4"/>
                <c:pt idx="0">
                  <c:v>Zaragoza capital</c:v>
                </c:pt>
                <c:pt idx="1">
                  <c:v>Zaragoza provincia (excepto Zaragoza capital)</c:v>
                </c:pt>
                <c:pt idx="2">
                  <c:v>Aragón (provincias de Huesca o Teruel)</c:v>
                </c:pt>
                <c:pt idx="3">
                  <c:v>Fuera de Aragón</c:v>
                </c:pt>
              </c:strCache>
            </c:strRef>
          </c:cat>
          <c:val>
            <c:numRef>
              <c:f>'Lugar de residencia familiar'!$D$5:$D$8</c:f>
              <c:numCache>
                <c:formatCode>General</c:formatCode>
                <c:ptCount val="4"/>
                <c:pt idx="0">
                  <c:v>79</c:v>
                </c:pt>
                <c:pt idx="1">
                  <c:v>15</c:v>
                </c:pt>
                <c:pt idx="2">
                  <c:v>24</c:v>
                </c:pt>
                <c:pt idx="3">
                  <c:v>21</c:v>
                </c:pt>
              </c:numCache>
            </c:numRef>
          </c:val>
          <c:extLst>
            <c:ext xmlns:c16="http://schemas.microsoft.com/office/drawing/2014/chart" uri="{C3380CC4-5D6E-409C-BE32-E72D297353CC}">
              <c16:uniqueId val="{00000000-DAAE-451B-9642-3C2D18BA3E3D}"/>
            </c:ext>
          </c:extLst>
        </c:ser>
        <c:dLbls>
          <c:showLegendKey val="0"/>
          <c:showVal val="0"/>
          <c:showCatName val="0"/>
          <c:showSerName val="0"/>
          <c:showPercent val="1"/>
          <c:showBubbleSize val="0"/>
          <c:showLeaderLines val="1"/>
        </c:dLbls>
      </c:pie3DChart>
    </c:plotArea>
    <c:legend>
      <c:legendPos val="r"/>
      <c:layout/>
      <c:overlay val="0"/>
    </c:legend>
    <c:plotVisOnly val="1"/>
    <c:dispBlanksAs val="gap"/>
    <c:showDLblsOverMax val="0"/>
  </c:chart>
  <c:spPr>
    <a:gradFill>
      <a:gsLst>
        <a:gs pos="0">
          <a:schemeClr val="accent1">
            <a:tint val="66000"/>
            <a:satMod val="160000"/>
          </a:schemeClr>
        </a:gs>
        <a:gs pos="64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7"/>
    </mc:Choice>
    <mc:Fallback>
      <c:style val="47"/>
    </mc:Fallback>
  </mc:AlternateContent>
  <c:chart>
    <c:title>
      <c:tx>
        <c:rich>
          <a:bodyPr/>
          <a:lstStyle/>
          <a:p>
            <a:pPr>
              <a:defRPr/>
            </a:pPr>
            <a:r>
              <a:rPr lang="es-ES" sz="1400"/>
              <a:t>Distribución del número de hermanos de los estudiantes de 1er</a:t>
            </a:r>
            <a:r>
              <a:rPr lang="es-ES" sz="1400" baseline="0"/>
              <a:t> curso</a:t>
            </a:r>
            <a:r>
              <a:rPr lang="es-ES" sz="1400"/>
              <a:t> de GECO</a:t>
            </a:r>
          </a:p>
        </c:rich>
      </c:tx>
      <c:layout>
        <c:manualLayout>
          <c:xMode val="edge"/>
          <c:yMode val="edge"/>
          <c:x val="0.19403936511716752"/>
          <c:y val="1.0554089709762533E-2"/>
        </c:manualLayout>
      </c:layout>
      <c:overlay val="0"/>
    </c:title>
    <c:autoTitleDeleted val="0"/>
    <c:plotArea>
      <c:layout>
        <c:manualLayout>
          <c:layoutTarget val="inner"/>
          <c:xMode val="edge"/>
          <c:yMode val="edge"/>
          <c:x val="0.18970156140690353"/>
          <c:y val="0.15655399275618251"/>
          <c:w val="0.77696520449121553"/>
          <c:h val="0.66098047770413926"/>
        </c:manualLayout>
      </c:layout>
      <c:barChart>
        <c:barDir val="col"/>
        <c:grouping val="clustered"/>
        <c:varyColors val="0"/>
        <c:ser>
          <c:idx val="0"/>
          <c:order val="0"/>
          <c:invertIfNegative val="0"/>
          <c:dLbls>
            <c:spPr>
              <a:solidFill>
                <a:schemeClr val="lt1"/>
              </a:solidFill>
              <a:ln w="25400" cap="flat" cmpd="sng" algn="ctr">
                <a:solidFill>
                  <a:schemeClr val="accent1"/>
                </a:solidFill>
                <a:prstDash val="solid"/>
              </a:ln>
              <a:effectLst/>
            </c:spPr>
            <c:txPr>
              <a:bodyPr/>
              <a:lstStyle/>
              <a:p>
                <a:pPr>
                  <a:defRPr>
                    <a:solidFill>
                      <a:schemeClr val="dk1"/>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val>
            <c:numRef>
              <c:f>'Número de hermanos'!$D$6:$D$11</c:f>
              <c:numCache>
                <c:formatCode>0.00%</c:formatCode>
                <c:ptCount val="6"/>
                <c:pt idx="0">
                  <c:v>0.15748031496062992</c:v>
                </c:pt>
                <c:pt idx="1">
                  <c:v>0.55905511811023623</c:v>
                </c:pt>
                <c:pt idx="2">
                  <c:v>0.23622047244094488</c:v>
                </c:pt>
                <c:pt idx="3">
                  <c:v>1.5748031496062992E-2</c:v>
                </c:pt>
                <c:pt idx="4">
                  <c:v>1.5748031496062992E-2</c:v>
                </c:pt>
                <c:pt idx="5">
                  <c:v>1.5748031496062992E-2</c:v>
                </c:pt>
              </c:numCache>
            </c:numRef>
          </c:val>
          <c:extLst>
            <c:ext xmlns:c16="http://schemas.microsoft.com/office/drawing/2014/chart" uri="{C3380CC4-5D6E-409C-BE32-E72D297353CC}">
              <c16:uniqueId val="{00000000-8925-459A-86FD-012F2F428AEB}"/>
            </c:ext>
          </c:extLst>
        </c:ser>
        <c:dLbls>
          <c:showLegendKey val="0"/>
          <c:showVal val="1"/>
          <c:showCatName val="0"/>
          <c:showSerName val="0"/>
          <c:showPercent val="0"/>
          <c:showBubbleSize val="0"/>
        </c:dLbls>
        <c:gapWidth val="75"/>
        <c:axId val="38998016"/>
        <c:axId val="227461376"/>
      </c:barChart>
      <c:catAx>
        <c:axId val="38998016"/>
        <c:scaling>
          <c:orientation val="minMax"/>
        </c:scaling>
        <c:delete val="0"/>
        <c:axPos val="b"/>
        <c:title>
          <c:tx>
            <c:rich>
              <a:bodyPr/>
              <a:lstStyle/>
              <a:p>
                <a:pPr>
                  <a:defRPr/>
                </a:pPr>
                <a:r>
                  <a:rPr lang="es-ES"/>
                  <a:t>Número de hermanos</a:t>
                </a:r>
              </a:p>
            </c:rich>
          </c:tx>
          <c:layout>
            <c:manualLayout>
              <c:xMode val="edge"/>
              <c:yMode val="edge"/>
              <c:x val="0.36941097987751537"/>
              <c:y val="0.88807678723536865"/>
            </c:manualLayout>
          </c:layout>
          <c:overlay val="0"/>
        </c:title>
        <c:majorTickMark val="none"/>
        <c:minorTickMark val="none"/>
        <c:tickLblPos val="nextTo"/>
        <c:crossAx val="227461376"/>
        <c:crosses val="autoZero"/>
        <c:auto val="1"/>
        <c:lblAlgn val="ctr"/>
        <c:lblOffset val="100"/>
        <c:noMultiLvlLbl val="0"/>
      </c:catAx>
      <c:valAx>
        <c:axId val="227461376"/>
        <c:scaling>
          <c:orientation val="minMax"/>
        </c:scaling>
        <c:delete val="0"/>
        <c:axPos val="l"/>
        <c:title>
          <c:tx>
            <c:rich>
              <a:bodyPr rot="-5400000" vert="horz"/>
              <a:lstStyle/>
              <a:p>
                <a:pPr>
                  <a:defRPr/>
                </a:pPr>
                <a:r>
                  <a:rPr lang="en-US"/>
                  <a:t>% estudiantes</a:t>
                </a:r>
              </a:p>
            </c:rich>
          </c:tx>
          <c:layout>
            <c:manualLayout>
              <c:xMode val="edge"/>
              <c:yMode val="edge"/>
              <c:x val="3.3669033336806431E-2"/>
              <c:y val="0.37444082022728692"/>
            </c:manualLayout>
          </c:layout>
          <c:overlay val="0"/>
        </c:title>
        <c:numFmt formatCode="0.00%" sourceLinked="1"/>
        <c:majorTickMark val="none"/>
        <c:minorTickMark val="none"/>
        <c:tickLblPos val="nextTo"/>
        <c:crossAx val="38998016"/>
        <c:crosses val="autoZero"/>
        <c:crossBetween val="between"/>
      </c:valAx>
    </c:plotArea>
    <c:plotVisOnly val="1"/>
    <c:dispBlanksAs val="gap"/>
    <c:showDLblsOverMax val="0"/>
  </c:chart>
  <c:spPr>
    <a:solidFill>
      <a:schemeClr val="lt1"/>
    </a:solidFill>
    <a:ln w="25400" cap="flat" cmpd="sng" algn="ctr">
      <a:solidFill>
        <a:schemeClr val="accent1"/>
      </a:solidFill>
      <a:prstDash val="solid"/>
    </a:ln>
    <a:effectLst/>
  </c:spPr>
  <c:txPr>
    <a:bodyPr/>
    <a:lstStyle/>
    <a:p>
      <a:pPr>
        <a:defRPr>
          <a:solidFill>
            <a:schemeClr val="dk1"/>
          </a:solidFill>
          <a:latin typeface="+mn-lt"/>
          <a:ea typeface="+mn-ea"/>
          <a:cs typeface="+mn-cs"/>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Distribución estudiantes por estatura</a:t>
            </a:r>
          </a:p>
        </c:rich>
      </c:tx>
      <c:layout/>
      <c:overlay val="0"/>
    </c:title>
    <c:autoTitleDeleted val="0"/>
    <c:plotArea>
      <c:layout>
        <c:manualLayout>
          <c:layoutTarget val="inner"/>
          <c:xMode val="edge"/>
          <c:yMode val="edge"/>
          <c:x val="0.16094238220222473"/>
          <c:y val="0.17422462817147857"/>
          <c:w val="0.80975358849374601"/>
          <c:h val="0.60236475648877219"/>
        </c:manualLayout>
      </c:layout>
      <c:barChart>
        <c:barDir val="col"/>
        <c:grouping val="clustered"/>
        <c:varyColors val="0"/>
        <c:ser>
          <c:idx val="0"/>
          <c:order val="0"/>
          <c:invertIfNegative val="0"/>
          <c:cat>
            <c:numRef>
              <c:f>Estaturas!$H$13:$H$21</c:f>
              <c:numCache>
                <c:formatCode>General</c:formatCode>
                <c:ptCount val="9"/>
                <c:pt idx="0">
                  <c:v>152.5</c:v>
                </c:pt>
                <c:pt idx="1">
                  <c:v>157.5</c:v>
                </c:pt>
                <c:pt idx="2">
                  <c:v>162.5</c:v>
                </c:pt>
                <c:pt idx="3">
                  <c:v>167.5</c:v>
                </c:pt>
                <c:pt idx="4">
                  <c:v>172.5</c:v>
                </c:pt>
                <c:pt idx="5">
                  <c:v>177.5</c:v>
                </c:pt>
                <c:pt idx="6">
                  <c:v>182.5</c:v>
                </c:pt>
                <c:pt idx="7">
                  <c:v>187.5</c:v>
                </c:pt>
                <c:pt idx="8">
                  <c:v>192.5</c:v>
                </c:pt>
              </c:numCache>
            </c:numRef>
          </c:cat>
          <c:val>
            <c:numRef>
              <c:f>Estaturas!$L$13:$L$21</c:f>
              <c:numCache>
                <c:formatCode>0.00%</c:formatCode>
                <c:ptCount val="9"/>
                <c:pt idx="0">
                  <c:v>1.4705882352941176E-2</c:v>
                </c:pt>
                <c:pt idx="1">
                  <c:v>7.3529411764705885E-2</c:v>
                </c:pt>
                <c:pt idx="2">
                  <c:v>0.17647058823529413</c:v>
                </c:pt>
                <c:pt idx="3">
                  <c:v>0.15441176470588236</c:v>
                </c:pt>
                <c:pt idx="4">
                  <c:v>0.19117647058823528</c:v>
                </c:pt>
                <c:pt idx="5">
                  <c:v>0.16911764705882354</c:v>
                </c:pt>
                <c:pt idx="6">
                  <c:v>0.125</c:v>
                </c:pt>
                <c:pt idx="7">
                  <c:v>8.0882352941176475E-2</c:v>
                </c:pt>
                <c:pt idx="8">
                  <c:v>1.4705882352941176E-2</c:v>
                </c:pt>
              </c:numCache>
            </c:numRef>
          </c:val>
          <c:extLst>
            <c:ext xmlns:c16="http://schemas.microsoft.com/office/drawing/2014/chart" uri="{C3380CC4-5D6E-409C-BE32-E72D297353CC}">
              <c16:uniqueId val="{00000000-6195-439A-AF23-842C4EFBAEC9}"/>
            </c:ext>
          </c:extLst>
        </c:ser>
        <c:dLbls>
          <c:showLegendKey val="0"/>
          <c:showVal val="0"/>
          <c:showCatName val="0"/>
          <c:showSerName val="0"/>
          <c:showPercent val="0"/>
          <c:showBubbleSize val="0"/>
        </c:dLbls>
        <c:gapWidth val="0"/>
        <c:axId val="39000576"/>
        <c:axId val="227463680"/>
      </c:barChart>
      <c:lineChart>
        <c:grouping val="standard"/>
        <c:varyColors val="0"/>
        <c:ser>
          <c:idx val="1"/>
          <c:order val="1"/>
          <c:marker>
            <c:symbol val="none"/>
          </c:marker>
          <c:cat>
            <c:numRef>
              <c:f>Estaturas!$H$13:$H$21</c:f>
              <c:numCache>
                <c:formatCode>General</c:formatCode>
                <c:ptCount val="9"/>
                <c:pt idx="0">
                  <c:v>152.5</c:v>
                </c:pt>
                <c:pt idx="1">
                  <c:v>157.5</c:v>
                </c:pt>
                <c:pt idx="2">
                  <c:v>162.5</c:v>
                </c:pt>
                <c:pt idx="3">
                  <c:v>167.5</c:v>
                </c:pt>
                <c:pt idx="4">
                  <c:v>172.5</c:v>
                </c:pt>
                <c:pt idx="5">
                  <c:v>177.5</c:v>
                </c:pt>
                <c:pt idx="6">
                  <c:v>182.5</c:v>
                </c:pt>
                <c:pt idx="7">
                  <c:v>187.5</c:v>
                </c:pt>
                <c:pt idx="8">
                  <c:v>192.5</c:v>
                </c:pt>
              </c:numCache>
            </c:numRef>
          </c:cat>
          <c:val>
            <c:numRef>
              <c:f>Estaturas!$L$13:$L$21</c:f>
              <c:numCache>
                <c:formatCode>0.00%</c:formatCode>
                <c:ptCount val="9"/>
                <c:pt idx="0">
                  <c:v>1.4705882352941176E-2</c:v>
                </c:pt>
                <c:pt idx="1">
                  <c:v>7.3529411764705885E-2</c:v>
                </c:pt>
                <c:pt idx="2">
                  <c:v>0.17647058823529413</c:v>
                </c:pt>
                <c:pt idx="3">
                  <c:v>0.15441176470588236</c:v>
                </c:pt>
                <c:pt idx="4">
                  <c:v>0.19117647058823528</c:v>
                </c:pt>
                <c:pt idx="5">
                  <c:v>0.16911764705882354</c:v>
                </c:pt>
                <c:pt idx="6">
                  <c:v>0.125</c:v>
                </c:pt>
                <c:pt idx="7">
                  <c:v>8.0882352941176475E-2</c:v>
                </c:pt>
                <c:pt idx="8">
                  <c:v>1.4705882352941176E-2</c:v>
                </c:pt>
              </c:numCache>
            </c:numRef>
          </c:val>
          <c:smooth val="0"/>
          <c:extLst>
            <c:ext xmlns:c16="http://schemas.microsoft.com/office/drawing/2014/chart" uri="{C3380CC4-5D6E-409C-BE32-E72D297353CC}">
              <c16:uniqueId val="{00000001-6195-439A-AF23-842C4EFBAEC9}"/>
            </c:ext>
          </c:extLst>
        </c:ser>
        <c:dLbls>
          <c:showLegendKey val="0"/>
          <c:showVal val="0"/>
          <c:showCatName val="0"/>
          <c:showSerName val="0"/>
          <c:showPercent val="0"/>
          <c:showBubbleSize val="0"/>
        </c:dLbls>
        <c:marker val="1"/>
        <c:smooth val="0"/>
        <c:axId val="236543488"/>
        <c:axId val="227464256"/>
      </c:lineChart>
      <c:catAx>
        <c:axId val="39000576"/>
        <c:scaling>
          <c:orientation val="minMax"/>
        </c:scaling>
        <c:delete val="0"/>
        <c:axPos val="b"/>
        <c:title>
          <c:tx>
            <c:rich>
              <a:bodyPr/>
              <a:lstStyle/>
              <a:p>
                <a:pPr>
                  <a:defRPr/>
                </a:pPr>
                <a:r>
                  <a:rPr lang="en-US"/>
                  <a:t>Estatura (en cm)</a:t>
                </a:r>
              </a:p>
            </c:rich>
          </c:tx>
          <c:layout/>
          <c:overlay val="0"/>
        </c:title>
        <c:numFmt formatCode="General" sourceLinked="1"/>
        <c:majorTickMark val="none"/>
        <c:minorTickMark val="none"/>
        <c:tickLblPos val="nextTo"/>
        <c:crossAx val="227463680"/>
        <c:crosses val="autoZero"/>
        <c:auto val="1"/>
        <c:lblAlgn val="ctr"/>
        <c:lblOffset val="100"/>
        <c:noMultiLvlLbl val="0"/>
      </c:catAx>
      <c:valAx>
        <c:axId val="227463680"/>
        <c:scaling>
          <c:orientation val="minMax"/>
        </c:scaling>
        <c:delete val="0"/>
        <c:axPos val="l"/>
        <c:title>
          <c:tx>
            <c:rich>
              <a:bodyPr/>
              <a:lstStyle/>
              <a:p>
                <a:pPr>
                  <a:defRPr/>
                </a:pPr>
                <a:r>
                  <a:rPr lang="en-US"/>
                  <a:t>% de alumnos</a:t>
                </a:r>
              </a:p>
            </c:rich>
          </c:tx>
          <c:layout/>
          <c:overlay val="0"/>
        </c:title>
        <c:numFmt formatCode="0.00%" sourceLinked="1"/>
        <c:majorTickMark val="out"/>
        <c:minorTickMark val="none"/>
        <c:tickLblPos val="nextTo"/>
        <c:crossAx val="39000576"/>
        <c:crosses val="autoZero"/>
        <c:crossBetween val="between"/>
      </c:valAx>
      <c:valAx>
        <c:axId val="227464256"/>
        <c:scaling>
          <c:orientation val="minMax"/>
        </c:scaling>
        <c:delete val="1"/>
        <c:axPos val="r"/>
        <c:numFmt formatCode="0.00%" sourceLinked="1"/>
        <c:majorTickMark val="out"/>
        <c:minorTickMark val="none"/>
        <c:tickLblPos val="nextTo"/>
        <c:crossAx val="236543488"/>
        <c:crosses val="max"/>
        <c:crossBetween val="between"/>
      </c:valAx>
      <c:catAx>
        <c:axId val="236543488"/>
        <c:scaling>
          <c:orientation val="minMax"/>
        </c:scaling>
        <c:delete val="1"/>
        <c:axPos val="t"/>
        <c:numFmt formatCode="General" sourceLinked="1"/>
        <c:majorTickMark val="out"/>
        <c:minorTickMark val="none"/>
        <c:tickLblPos val="nextTo"/>
        <c:crossAx val="227464256"/>
        <c:crosses val="max"/>
        <c:auto val="1"/>
        <c:lblAlgn val="ctr"/>
        <c:lblOffset val="100"/>
        <c:noMultiLvlLbl val="0"/>
      </c:cat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s-ES" sz="1600"/>
              <a:t>Distribución estudiantes (alumnos) por estatura</a:t>
            </a:r>
          </a:p>
        </c:rich>
      </c:tx>
      <c:layout/>
      <c:overlay val="0"/>
    </c:title>
    <c:autoTitleDeleted val="0"/>
    <c:plotArea>
      <c:layout/>
      <c:barChart>
        <c:barDir val="col"/>
        <c:grouping val="clustered"/>
        <c:varyColors val="0"/>
        <c:ser>
          <c:idx val="0"/>
          <c:order val="0"/>
          <c:invertIfNegative val="0"/>
          <c:cat>
            <c:numRef>
              <c:f>Estaturas!$H$13:$H$22</c:f>
              <c:numCache>
                <c:formatCode>General</c:formatCode>
                <c:ptCount val="10"/>
                <c:pt idx="0">
                  <c:v>152.5</c:v>
                </c:pt>
                <c:pt idx="1">
                  <c:v>157.5</c:v>
                </c:pt>
                <c:pt idx="2">
                  <c:v>162.5</c:v>
                </c:pt>
                <c:pt idx="3">
                  <c:v>167.5</c:v>
                </c:pt>
                <c:pt idx="4">
                  <c:v>172.5</c:v>
                </c:pt>
                <c:pt idx="5">
                  <c:v>177.5</c:v>
                </c:pt>
                <c:pt idx="6">
                  <c:v>182.5</c:v>
                </c:pt>
                <c:pt idx="7">
                  <c:v>187.5</c:v>
                </c:pt>
                <c:pt idx="8">
                  <c:v>192.5</c:v>
                </c:pt>
              </c:numCache>
            </c:numRef>
          </c:cat>
          <c:val>
            <c:numRef>
              <c:f>Estaturas!$M$13:$M$21</c:f>
              <c:numCache>
                <c:formatCode>0.00%</c:formatCode>
                <c:ptCount val="9"/>
                <c:pt idx="0">
                  <c:v>0</c:v>
                </c:pt>
                <c:pt idx="1">
                  <c:v>1.2048192771084338E-2</c:v>
                </c:pt>
                <c:pt idx="2">
                  <c:v>3.614457831325301E-2</c:v>
                </c:pt>
                <c:pt idx="3">
                  <c:v>0.12048192771084337</c:v>
                </c:pt>
                <c:pt idx="4">
                  <c:v>0.21686746987951808</c:v>
                </c:pt>
                <c:pt idx="5">
                  <c:v>0.27710843373493976</c:v>
                </c:pt>
                <c:pt idx="6">
                  <c:v>0.19277108433734941</c:v>
                </c:pt>
                <c:pt idx="7">
                  <c:v>0.12048192771084337</c:v>
                </c:pt>
                <c:pt idx="8">
                  <c:v>2.4096385542168676E-2</c:v>
                </c:pt>
              </c:numCache>
            </c:numRef>
          </c:val>
          <c:extLst>
            <c:ext xmlns:c16="http://schemas.microsoft.com/office/drawing/2014/chart" uri="{C3380CC4-5D6E-409C-BE32-E72D297353CC}">
              <c16:uniqueId val="{00000000-3844-4A1C-95D5-FCC585782C57}"/>
            </c:ext>
          </c:extLst>
        </c:ser>
        <c:dLbls>
          <c:showLegendKey val="0"/>
          <c:showVal val="0"/>
          <c:showCatName val="0"/>
          <c:showSerName val="0"/>
          <c:showPercent val="0"/>
          <c:showBubbleSize val="0"/>
        </c:dLbls>
        <c:gapWidth val="0"/>
        <c:axId val="38858752"/>
        <c:axId val="227465984"/>
      </c:barChart>
      <c:lineChart>
        <c:grouping val="standard"/>
        <c:varyColors val="0"/>
        <c:ser>
          <c:idx val="1"/>
          <c:order val="1"/>
          <c:marker>
            <c:symbol val="none"/>
          </c:marker>
          <c:cat>
            <c:numRef>
              <c:f>Estaturas!$H$13:$H$21</c:f>
              <c:numCache>
                <c:formatCode>General</c:formatCode>
                <c:ptCount val="9"/>
                <c:pt idx="0">
                  <c:v>152.5</c:v>
                </c:pt>
                <c:pt idx="1">
                  <c:v>157.5</c:v>
                </c:pt>
                <c:pt idx="2">
                  <c:v>162.5</c:v>
                </c:pt>
                <c:pt idx="3">
                  <c:v>167.5</c:v>
                </c:pt>
                <c:pt idx="4">
                  <c:v>172.5</c:v>
                </c:pt>
                <c:pt idx="5">
                  <c:v>177.5</c:v>
                </c:pt>
                <c:pt idx="6">
                  <c:v>182.5</c:v>
                </c:pt>
                <c:pt idx="7">
                  <c:v>187.5</c:v>
                </c:pt>
                <c:pt idx="8">
                  <c:v>192.5</c:v>
                </c:pt>
              </c:numCache>
            </c:numRef>
          </c:cat>
          <c:val>
            <c:numRef>
              <c:f>Estaturas!$M$13:$M$21</c:f>
              <c:numCache>
                <c:formatCode>0.00%</c:formatCode>
                <c:ptCount val="9"/>
                <c:pt idx="0">
                  <c:v>0</c:v>
                </c:pt>
                <c:pt idx="1">
                  <c:v>1.2048192771084338E-2</c:v>
                </c:pt>
                <c:pt idx="2">
                  <c:v>3.614457831325301E-2</c:v>
                </c:pt>
                <c:pt idx="3">
                  <c:v>0.12048192771084337</c:v>
                </c:pt>
                <c:pt idx="4">
                  <c:v>0.21686746987951808</c:v>
                </c:pt>
                <c:pt idx="5">
                  <c:v>0.27710843373493976</c:v>
                </c:pt>
                <c:pt idx="6">
                  <c:v>0.19277108433734941</c:v>
                </c:pt>
                <c:pt idx="7">
                  <c:v>0.12048192771084337</c:v>
                </c:pt>
                <c:pt idx="8">
                  <c:v>2.4096385542168676E-2</c:v>
                </c:pt>
              </c:numCache>
            </c:numRef>
          </c:val>
          <c:smooth val="0"/>
          <c:extLst>
            <c:ext xmlns:c16="http://schemas.microsoft.com/office/drawing/2014/chart" uri="{C3380CC4-5D6E-409C-BE32-E72D297353CC}">
              <c16:uniqueId val="{00000001-3844-4A1C-95D5-FCC585782C57}"/>
            </c:ext>
          </c:extLst>
        </c:ser>
        <c:dLbls>
          <c:showLegendKey val="0"/>
          <c:showVal val="0"/>
          <c:showCatName val="0"/>
          <c:showSerName val="0"/>
          <c:showPercent val="0"/>
          <c:showBubbleSize val="0"/>
        </c:dLbls>
        <c:marker val="1"/>
        <c:smooth val="0"/>
        <c:axId val="38858752"/>
        <c:axId val="227465984"/>
      </c:lineChart>
      <c:catAx>
        <c:axId val="38858752"/>
        <c:scaling>
          <c:orientation val="minMax"/>
        </c:scaling>
        <c:delete val="0"/>
        <c:axPos val="b"/>
        <c:title>
          <c:tx>
            <c:rich>
              <a:bodyPr/>
              <a:lstStyle/>
              <a:p>
                <a:pPr>
                  <a:defRPr/>
                </a:pPr>
                <a:r>
                  <a:rPr lang="en-US"/>
                  <a:t>Estatura (en cm)</a:t>
                </a:r>
              </a:p>
            </c:rich>
          </c:tx>
          <c:layout/>
          <c:overlay val="0"/>
        </c:title>
        <c:numFmt formatCode="General" sourceLinked="1"/>
        <c:majorTickMark val="none"/>
        <c:minorTickMark val="none"/>
        <c:tickLblPos val="nextTo"/>
        <c:crossAx val="227465984"/>
        <c:crosses val="autoZero"/>
        <c:auto val="1"/>
        <c:lblAlgn val="ctr"/>
        <c:lblOffset val="100"/>
        <c:noMultiLvlLbl val="0"/>
      </c:catAx>
      <c:valAx>
        <c:axId val="227465984"/>
        <c:scaling>
          <c:orientation val="minMax"/>
        </c:scaling>
        <c:delete val="0"/>
        <c:axPos val="l"/>
        <c:title>
          <c:tx>
            <c:rich>
              <a:bodyPr/>
              <a:lstStyle/>
              <a:p>
                <a:pPr>
                  <a:defRPr/>
                </a:pPr>
                <a:r>
                  <a:rPr lang="en-US" sz="1000" b="1" i="0" u="none" strike="noStrike" baseline="0">
                    <a:effectLst/>
                  </a:rPr>
                  <a:t>% de </a:t>
                </a:r>
                <a:r>
                  <a:rPr lang="en-US"/>
                  <a:t>alumnos</a:t>
                </a:r>
              </a:p>
            </c:rich>
          </c:tx>
          <c:layout/>
          <c:overlay val="0"/>
        </c:title>
        <c:numFmt formatCode="0.00%" sourceLinked="1"/>
        <c:majorTickMark val="out"/>
        <c:minorTickMark val="none"/>
        <c:tickLblPos val="nextTo"/>
        <c:crossAx val="38858752"/>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Distribución estudiantes (alumnas) por estatura</a:t>
            </a:r>
          </a:p>
        </c:rich>
      </c:tx>
      <c:layout/>
      <c:overlay val="0"/>
    </c:title>
    <c:autoTitleDeleted val="0"/>
    <c:plotArea>
      <c:layout/>
      <c:barChart>
        <c:barDir val="col"/>
        <c:grouping val="clustered"/>
        <c:varyColors val="0"/>
        <c:ser>
          <c:idx val="0"/>
          <c:order val="0"/>
          <c:invertIfNegative val="0"/>
          <c:cat>
            <c:numRef>
              <c:f>Estaturas!$H$13:$H$22</c:f>
              <c:numCache>
                <c:formatCode>General</c:formatCode>
                <c:ptCount val="10"/>
                <c:pt idx="0">
                  <c:v>152.5</c:v>
                </c:pt>
                <c:pt idx="1">
                  <c:v>157.5</c:v>
                </c:pt>
                <c:pt idx="2">
                  <c:v>162.5</c:v>
                </c:pt>
                <c:pt idx="3">
                  <c:v>167.5</c:v>
                </c:pt>
                <c:pt idx="4">
                  <c:v>172.5</c:v>
                </c:pt>
                <c:pt idx="5">
                  <c:v>177.5</c:v>
                </c:pt>
                <c:pt idx="6">
                  <c:v>182.5</c:v>
                </c:pt>
                <c:pt idx="7">
                  <c:v>187.5</c:v>
                </c:pt>
                <c:pt idx="8">
                  <c:v>192.5</c:v>
                </c:pt>
              </c:numCache>
            </c:numRef>
          </c:cat>
          <c:val>
            <c:numRef>
              <c:f>Estaturas!$N$13:$N$21</c:f>
              <c:numCache>
                <c:formatCode>0.00%</c:formatCode>
                <c:ptCount val="9"/>
                <c:pt idx="0">
                  <c:v>3.7735849056603772E-2</c:v>
                </c:pt>
                <c:pt idx="1">
                  <c:v>0.16981132075471697</c:v>
                </c:pt>
                <c:pt idx="2">
                  <c:v>0.39622641509433965</c:v>
                </c:pt>
                <c:pt idx="3">
                  <c:v>0.20754716981132076</c:v>
                </c:pt>
                <c:pt idx="4">
                  <c:v>0.15094339622641509</c:v>
                </c:pt>
                <c:pt idx="5">
                  <c:v>0</c:v>
                </c:pt>
                <c:pt idx="6">
                  <c:v>1.8867924528301886E-2</c:v>
                </c:pt>
                <c:pt idx="7">
                  <c:v>1.8867924528301886E-2</c:v>
                </c:pt>
                <c:pt idx="8">
                  <c:v>0</c:v>
                </c:pt>
              </c:numCache>
            </c:numRef>
          </c:val>
          <c:extLst>
            <c:ext xmlns:c16="http://schemas.microsoft.com/office/drawing/2014/chart" uri="{C3380CC4-5D6E-409C-BE32-E72D297353CC}">
              <c16:uniqueId val="{00000000-206D-447C-B834-470FB624739C}"/>
            </c:ext>
          </c:extLst>
        </c:ser>
        <c:dLbls>
          <c:showLegendKey val="0"/>
          <c:showVal val="0"/>
          <c:showCatName val="0"/>
          <c:showSerName val="0"/>
          <c:showPercent val="0"/>
          <c:showBubbleSize val="0"/>
        </c:dLbls>
        <c:gapWidth val="0"/>
        <c:axId val="38859264"/>
        <c:axId val="39862848"/>
      </c:barChart>
      <c:lineChart>
        <c:grouping val="standard"/>
        <c:varyColors val="0"/>
        <c:ser>
          <c:idx val="1"/>
          <c:order val="1"/>
          <c:marker>
            <c:symbol val="none"/>
          </c:marker>
          <c:cat>
            <c:numRef>
              <c:f>Estaturas!$H$13:$H$21</c:f>
              <c:numCache>
                <c:formatCode>General</c:formatCode>
                <c:ptCount val="9"/>
                <c:pt idx="0">
                  <c:v>152.5</c:v>
                </c:pt>
                <c:pt idx="1">
                  <c:v>157.5</c:v>
                </c:pt>
                <c:pt idx="2">
                  <c:v>162.5</c:v>
                </c:pt>
                <c:pt idx="3">
                  <c:v>167.5</c:v>
                </c:pt>
                <c:pt idx="4">
                  <c:v>172.5</c:v>
                </c:pt>
                <c:pt idx="5">
                  <c:v>177.5</c:v>
                </c:pt>
                <c:pt idx="6">
                  <c:v>182.5</c:v>
                </c:pt>
                <c:pt idx="7">
                  <c:v>187.5</c:v>
                </c:pt>
                <c:pt idx="8">
                  <c:v>192.5</c:v>
                </c:pt>
              </c:numCache>
            </c:numRef>
          </c:cat>
          <c:val>
            <c:numRef>
              <c:f>Estaturas!$N$13:$N$21</c:f>
              <c:numCache>
                <c:formatCode>0.00%</c:formatCode>
                <c:ptCount val="9"/>
                <c:pt idx="0">
                  <c:v>3.7735849056603772E-2</c:v>
                </c:pt>
                <c:pt idx="1">
                  <c:v>0.16981132075471697</c:v>
                </c:pt>
                <c:pt idx="2">
                  <c:v>0.39622641509433965</c:v>
                </c:pt>
                <c:pt idx="3">
                  <c:v>0.20754716981132076</c:v>
                </c:pt>
                <c:pt idx="4">
                  <c:v>0.15094339622641509</c:v>
                </c:pt>
                <c:pt idx="5">
                  <c:v>0</c:v>
                </c:pt>
                <c:pt idx="6">
                  <c:v>1.8867924528301886E-2</c:v>
                </c:pt>
                <c:pt idx="7">
                  <c:v>1.8867924528301886E-2</c:v>
                </c:pt>
                <c:pt idx="8">
                  <c:v>0</c:v>
                </c:pt>
              </c:numCache>
            </c:numRef>
          </c:val>
          <c:smooth val="0"/>
          <c:extLst>
            <c:ext xmlns:c16="http://schemas.microsoft.com/office/drawing/2014/chart" uri="{C3380CC4-5D6E-409C-BE32-E72D297353CC}">
              <c16:uniqueId val="{00000001-206D-447C-B834-470FB624739C}"/>
            </c:ext>
          </c:extLst>
        </c:ser>
        <c:dLbls>
          <c:showLegendKey val="0"/>
          <c:showVal val="0"/>
          <c:showCatName val="0"/>
          <c:showSerName val="0"/>
          <c:showPercent val="0"/>
          <c:showBubbleSize val="0"/>
        </c:dLbls>
        <c:marker val="1"/>
        <c:smooth val="0"/>
        <c:axId val="38859264"/>
        <c:axId val="39862848"/>
      </c:lineChart>
      <c:catAx>
        <c:axId val="38859264"/>
        <c:scaling>
          <c:orientation val="minMax"/>
        </c:scaling>
        <c:delete val="0"/>
        <c:axPos val="b"/>
        <c:title>
          <c:tx>
            <c:rich>
              <a:bodyPr/>
              <a:lstStyle/>
              <a:p>
                <a:pPr>
                  <a:defRPr/>
                </a:pPr>
                <a:r>
                  <a:rPr lang="en-US"/>
                  <a:t>Estatura (en cm)</a:t>
                </a:r>
              </a:p>
            </c:rich>
          </c:tx>
          <c:layout/>
          <c:overlay val="0"/>
        </c:title>
        <c:numFmt formatCode="General" sourceLinked="1"/>
        <c:majorTickMark val="none"/>
        <c:minorTickMark val="none"/>
        <c:tickLblPos val="nextTo"/>
        <c:crossAx val="39862848"/>
        <c:crosses val="autoZero"/>
        <c:auto val="1"/>
        <c:lblAlgn val="ctr"/>
        <c:lblOffset val="100"/>
        <c:noMultiLvlLbl val="0"/>
      </c:catAx>
      <c:valAx>
        <c:axId val="39862848"/>
        <c:scaling>
          <c:orientation val="minMax"/>
        </c:scaling>
        <c:delete val="0"/>
        <c:axPos val="l"/>
        <c:title>
          <c:tx>
            <c:rich>
              <a:bodyPr/>
              <a:lstStyle/>
              <a:p>
                <a:pPr>
                  <a:defRPr/>
                </a:pPr>
                <a:r>
                  <a:rPr lang="en-US" sz="1000" b="1" i="0" u="none" strike="noStrike" baseline="0">
                    <a:effectLst/>
                  </a:rPr>
                  <a:t>% de </a:t>
                </a:r>
                <a:r>
                  <a:rPr lang="en-US"/>
                  <a:t>alumnos</a:t>
                </a:r>
              </a:p>
            </c:rich>
          </c:tx>
          <c:layout/>
          <c:overlay val="0"/>
        </c:title>
        <c:numFmt formatCode="0.00%" sourceLinked="1"/>
        <c:majorTickMark val="out"/>
        <c:minorTickMark val="none"/>
        <c:tickLblPos val="nextTo"/>
        <c:crossAx val="38859264"/>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Distribución estudiantes por estatura</a:t>
            </a:r>
          </a:p>
        </c:rich>
      </c:tx>
      <c:layout/>
      <c:overlay val="0"/>
    </c:title>
    <c:autoTitleDeleted val="0"/>
    <c:plotArea>
      <c:layout>
        <c:manualLayout>
          <c:layoutTarget val="inner"/>
          <c:xMode val="edge"/>
          <c:yMode val="edge"/>
          <c:x val="0.16094238220222473"/>
          <c:y val="0.17422462817147857"/>
          <c:w val="0.80975358849374601"/>
          <c:h val="0.60236475648877219"/>
        </c:manualLayout>
      </c:layout>
      <c:scatterChart>
        <c:scatterStyle val="lineMarker"/>
        <c:varyColors val="0"/>
        <c:ser>
          <c:idx val="0"/>
          <c:order val="0"/>
          <c:xVal>
            <c:numRef>
              <c:f>Estaturas!$H$13:$H$21</c:f>
              <c:numCache>
                <c:formatCode>General</c:formatCode>
                <c:ptCount val="9"/>
                <c:pt idx="0">
                  <c:v>152.5</c:v>
                </c:pt>
                <c:pt idx="1">
                  <c:v>157.5</c:v>
                </c:pt>
                <c:pt idx="2">
                  <c:v>162.5</c:v>
                </c:pt>
                <c:pt idx="3">
                  <c:v>167.5</c:v>
                </c:pt>
                <c:pt idx="4">
                  <c:v>172.5</c:v>
                </c:pt>
                <c:pt idx="5">
                  <c:v>177.5</c:v>
                </c:pt>
                <c:pt idx="6">
                  <c:v>182.5</c:v>
                </c:pt>
                <c:pt idx="7">
                  <c:v>187.5</c:v>
                </c:pt>
                <c:pt idx="8">
                  <c:v>192.5</c:v>
                </c:pt>
              </c:numCache>
            </c:numRef>
          </c:xVal>
          <c:yVal>
            <c:numRef>
              <c:f>Estaturas!$L$13:$L$21</c:f>
              <c:numCache>
                <c:formatCode>0.00%</c:formatCode>
                <c:ptCount val="9"/>
                <c:pt idx="0">
                  <c:v>1.4705882352941176E-2</c:v>
                </c:pt>
                <c:pt idx="1">
                  <c:v>7.3529411764705885E-2</c:v>
                </c:pt>
                <c:pt idx="2">
                  <c:v>0.17647058823529413</c:v>
                </c:pt>
                <c:pt idx="3">
                  <c:v>0.15441176470588236</c:v>
                </c:pt>
                <c:pt idx="4">
                  <c:v>0.19117647058823528</c:v>
                </c:pt>
                <c:pt idx="5">
                  <c:v>0.16911764705882354</c:v>
                </c:pt>
                <c:pt idx="6">
                  <c:v>0.125</c:v>
                </c:pt>
                <c:pt idx="7">
                  <c:v>8.0882352941176475E-2</c:v>
                </c:pt>
                <c:pt idx="8">
                  <c:v>1.4705882352941176E-2</c:v>
                </c:pt>
              </c:numCache>
            </c:numRef>
          </c:yVal>
          <c:smooth val="0"/>
          <c:extLst>
            <c:ext xmlns:c16="http://schemas.microsoft.com/office/drawing/2014/chart" uri="{C3380CC4-5D6E-409C-BE32-E72D297353CC}">
              <c16:uniqueId val="{00000000-05F4-4FCF-A172-C9E446CE346E}"/>
            </c:ext>
          </c:extLst>
        </c:ser>
        <c:dLbls>
          <c:showLegendKey val="0"/>
          <c:showVal val="0"/>
          <c:showCatName val="0"/>
          <c:showSerName val="0"/>
          <c:showPercent val="0"/>
          <c:showBubbleSize val="0"/>
        </c:dLbls>
        <c:axId val="39864576"/>
        <c:axId val="39865152"/>
      </c:scatterChart>
      <c:valAx>
        <c:axId val="39864576"/>
        <c:scaling>
          <c:orientation val="minMax"/>
          <c:max val="195"/>
          <c:min val="150"/>
        </c:scaling>
        <c:delete val="0"/>
        <c:axPos val="b"/>
        <c:title>
          <c:tx>
            <c:rich>
              <a:bodyPr/>
              <a:lstStyle/>
              <a:p>
                <a:pPr>
                  <a:defRPr/>
                </a:pPr>
                <a:r>
                  <a:rPr lang="en-US"/>
                  <a:t>Estatura (en cm)</a:t>
                </a:r>
              </a:p>
            </c:rich>
          </c:tx>
          <c:layout/>
          <c:overlay val="0"/>
        </c:title>
        <c:numFmt formatCode="General" sourceLinked="1"/>
        <c:majorTickMark val="none"/>
        <c:minorTickMark val="none"/>
        <c:tickLblPos val="nextTo"/>
        <c:crossAx val="39865152"/>
        <c:crosses val="autoZero"/>
        <c:crossBetween val="midCat"/>
      </c:valAx>
      <c:valAx>
        <c:axId val="39865152"/>
        <c:scaling>
          <c:orientation val="minMax"/>
        </c:scaling>
        <c:delete val="0"/>
        <c:axPos val="l"/>
        <c:title>
          <c:tx>
            <c:rich>
              <a:bodyPr/>
              <a:lstStyle/>
              <a:p>
                <a:pPr>
                  <a:defRPr/>
                </a:pPr>
                <a:r>
                  <a:rPr lang="en-US"/>
                  <a:t>% de alumnos</a:t>
                </a:r>
              </a:p>
            </c:rich>
          </c:tx>
          <c:layout/>
          <c:overlay val="0"/>
        </c:title>
        <c:numFmt formatCode="0.00%" sourceLinked="1"/>
        <c:majorTickMark val="out"/>
        <c:minorTickMark val="none"/>
        <c:tickLblPos val="nextTo"/>
        <c:crossAx val="39864576"/>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s-ES" sz="1600"/>
              <a:t>Distribución estudiantes (alumnos) por estatura</a:t>
            </a:r>
          </a:p>
        </c:rich>
      </c:tx>
      <c:layout/>
      <c:overlay val="0"/>
    </c:title>
    <c:autoTitleDeleted val="0"/>
    <c:plotArea>
      <c:layout/>
      <c:scatterChart>
        <c:scatterStyle val="lineMarker"/>
        <c:varyColors val="0"/>
        <c:ser>
          <c:idx val="0"/>
          <c:order val="0"/>
          <c:xVal>
            <c:numRef>
              <c:f>Estaturas!$H$13:$H$22</c:f>
              <c:numCache>
                <c:formatCode>General</c:formatCode>
                <c:ptCount val="10"/>
                <c:pt idx="0">
                  <c:v>152.5</c:v>
                </c:pt>
                <c:pt idx="1">
                  <c:v>157.5</c:v>
                </c:pt>
                <c:pt idx="2">
                  <c:v>162.5</c:v>
                </c:pt>
                <c:pt idx="3">
                  <c:v>167.5</c:v>
                </c:pt>
                <c:pt idx="4">
                  <c:v>172.5</c:v>
                </c:pt>
                <c:pt idx="5">
                  <c:v>177.5</c:v>
                </c:pt>
                <c:pt idx="6">
                  <c:v>182.5</c:v>
                </c:pt>
                <c:pt idx="7">
                  <c:v>187.5</c:v>
                </c:pt>
                <c:pt idx="8">
                  <c:v>192.5</c:v>
                </c:pt>
              </c:numCache>
            </c:numRef>
          </c:xVal>
          <c:yVal>
            <c:numRef>
              <c:f>Estaturas!$M$13:$M$21</c:f>
              <c:numCache>
                <c:formatCode>0.00%</c:formatCode>
                <c:ptCount val="9"/>
                <c:pt idx="0">
                  <c:v>0</c:v>
                </c:pt>
                <c:pt idx="1">
                  <c:v>1.2048192771084338E-2</c:v>
                </c:pt>
                <c:pt idx="2">
                  <c:v>3.614457831325301E-2</c:v>
                </c:pt>
                <c:pt idx="3">
                  <c:v>0.12048192771084337</c:v>
                </c:pt>
                <c:pt idx="4">
                  <c:v>0.21686746987951808</c:v>
                </c:pt>
                <c:pt idx="5">
                  <c:v>0.27710843373493976</c:v>
                </c:pt>
                <c:pt idx="6">
                  <c:v>0.19277108433734941</c:v>
                </c:pt>
                <c:pt idx="7">
                  <c:v>0.12048192771084337</c:v>
                </c:pt>
                <c:pt idx="8">
                  <c:v>2.4096385542168676E-2</c:v>
                </c:pt>
              </c:numCache>
            </c:numRef>
          </c:yVal>
          <c:smooth val="0"/>
          <c:extLst>
            <c:ext xmlns:c16="http://schemas.microsoft.com/office/drawing/2014/chart" uri="{C3380CC4-5D6E-409C-BE32-E72D297353CC}">
              <c16:uniqueId val="{00000000-8B25-40B6-BD67-3E81E8137DC9}"/>
            </c:ext>
          </c:extLst>
        </c:ser>
        <c:dLbls>
          <c:showLegendKey val="0"/>
          <c:showVal val="0"/>
          <c:showCatName val="0"/>
          <c:showSerName val="0"/>
          <c:showPercent val="0"/>
          <c:showBubbleSize val="0"/>
        </c:dLbls>
        <c:axId val="39866880"/>
        <c:axId val="39867456"/>
      </c:scatterChart>
      <c:valAx>
        <c:axId val="39866880"/>
        <c:scaling>
          <c:orientation val="minMax"/>
          <c:max val="195"/>
          <c:min val="150"/>
        </c:scaling>
        <c:delete val="0"/>
        <c:axPos val="b"/>
        <c:title>
          <c:tx>
            <c:rich>
              <a:bodyPr/>
              <a:lstStyle/>
              <a:p>
                <a:pPr>
                  <a:defRPr/>
                </a:pPr>
                <a:r>
                  <a:rPr lang="en-US"/>
                  <a:t>Estatura (en cm)</a:t>
                </a:r>
              </a:p>
            </c:rich>
          </c:tx>
          <c:layout/>
          <c:overlay val="0"/>
        </c:title>
        <c:numFmt formatCode="General" sourceLinked="1"/>
        <c:majorTickMark val="none"/>
        <c:minorTickMark val="none"/>
        <c:tickLblPos val="nextTo"/>
        <c:crossAx val="39867456"/>
        <c:crosses val="autoZero"/>
        <c:crossBetween val="midCat"/>
      </c:valAx>
      <c:valAx>
        <c:axId val="39867456"/>
        <c:scaling>
          <c:orientation val="minMax"/>
        </c:scaling>
        <c:delete val="0"/>
        <c:axPos val="l"/>
        <c:title>
          <c:tx>
            <c:rich>
              <a:bodyPr/>
              <a:lstStyle/>
              <a:p>
                <a:pPr>
                  <a:defRPr/>
                </a:pPr>
                <a:r>
                  <a:rPr lang="en-US" sz="1000" b="1" i="0" u="none" strike="noStrike" baseline="0">
                    <a:effectLst/>
                  </a:rPr>
                  <a:t>% de </a:t>
                </a:r>
                <a:r>
                  <a:rPr lang="en-US"/>
                  <a:t>alumnos</a:t>
                </a:r>
              </a:p>
            </c:rich>
          </c:tx>
          <c:layout/>
          <c:overlay val="0"/>
        </c:title>
        <c:numFmt formatCode="0.00%" sourceLinked="1"/>
        <c:majorTickMark val="out"/>
        <c:minorTickMark val="none"/>
        <c:tickLblPos val="nextTo"/>
        <c:crossAx val="39866880"/>
        <c:crosses val="autoZero"/>
        <c:crossBetween val="midCat"/>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Distribución estudiantes (alumnas) por estatura</a:t>
            </a:r>
          </a:p>
        </c:rich>
      </c:tx>
      <c:layout/>
      <c:overlay val="0"/>
    </c:title>
    <c:autoTitleDeleted val="0"/>
    <c:plotArea>
      <c:layout/>
      <c:scatterChart>
        <c:scatterStyle val="lineMarker"/>
        <c:varyColors val="0"/>
        <c:ser>
          <c:idx val="0"/>
          <c:order val="0"/>
          <c:xVal>
            <c:numRef>
              <c:f>Estaturas!$H$13:$H$22</c:f>
              <c:numCache>
                <c:formatCode>General</c:formatCode>
                <c:ptCount val="10"/>
                <c:pt idx="0">
                  <c:v>152.5</c:v>
                </c:pt>
                <c:pt idx="1">
                  <c:v>157.5</c:v>
                </c:pt>
                <c:pt idx="2">
                  <c:v>162.5</c:v>
                </c:pt>
                <c:pt idx="3">
                  <c:v>167.5</c:v>
                </c:pt>
                <c:pt idx="4">
                  <c:v>172.5</c:v>
                </c:pt>
                <c:pt idx="5">
                  <c:v>177.5</c:v>
                </c:pt>
                <c:pt idx="6">
                  <c:v>182.5</c:v>
                </c:pt>
                <c:pt idx="7">
                  <c:v>187.5</c:v>
                </c:pt>
                <c:pt idx="8">
                  <c:v>192.5</c:v>
                </c:pt>
              </c:numCache>
            </c:numRef>
          </c:xVal>
          <c:yVal>
            <c:numRef>
              <c:f>Estaturas!$N$13:$N$21</c:f>
              <c:numCache>
                <c:formatCode>0.00%</c:formatCode>
                <c:ptCount val="9"/>
                <c:pt idx="0">
                  <c:v>3.7735849056603772E-2</c:v>
                </c:pt>
                <c:pt idx="1">
                  <c:v>0.16981132075471697</c:v>
                </c:pt>
                <c:pt idx="2">
                  <c:v>0.39622641509433965</c:v>
                </c:pt>
                <c:pt idx="3">
                  <c:v>0.20754716981132076</c:v>
                </c:pt>
                <c:pt idx="4">
                  <c:v>0.15094339622641509</c:v>
                </c:pt>
                <c:pt idx="5">
                  <c:v>0</c:v>
                </c:pt>
                <c:pt idx="6">
                  <c:v>1.8867924528301886E-2</c:v>
                </c:pt>
                <c:pt idx="7">
                  <c:v>1.8867924528301886E-2</c:v>
                </c:pt>
                <c:pt idx="8">
                  <c:v>0</c:v>
                </c:pt>
              </c:numCache>
            </c:numRef>
          </c:yVal>
          <c:smooth val="0"/>
          <c:extLst>
            <c:ext xmlns:c16="http://schemas.microsoft.com/office/drawing/2014/chart" uri="{C3380CC4-5D6E-409C-BE32-E72D297353CC}">
              <c16:uniqueId val="{00000000-3272-4158-A04C-C7BBB2CE9816}"/>
            </c:ext>
          </c:extLst>
        </c:ser>
        <c:dLbls>
          <c:showLegendKey val="0"/>
          <c:showVal val="0"/>
          <c:showCatName val="0"/>
          <c:showSerName val="0"/>
          <c:showPercent val="0"/>
          <c:showBubbleSize val="0"/>
        </c:dLbls>
        <c:axId val="39869184"/>
        <c:axId val="39869760"/>
      </c:scatterChart>
      <c:valAx>
        <c:axId val="39869184"/>
        <c:scaling>
          <c:orientation val="minMax"/>
          <c:max val="195"/>
          <c:min val="150"/>
        </c:scaling>
        <c:delete val="0"/>
        <c:axPos val="b"/>
        <c:title>
          <c:tx>
            <c:rich>
              <a:bodyPr/>
              <a:lstStyle/>
              <a:p>
                <a:pPr>
                  <a:defRPr/>
                </a:pPr>
                <a:r>
                  <a:rPr lang="en-US"/>
                  <a:t>Estatura (en cm)</a:t>
                </a:r>
              </a:p>
            </c:rich>
          </c:tx>
          <c:layout/>
          <c:overlay val="0"/>
        </c:title>
        <c:numFmt formatCode="General" sourceLinked="1"/>
        <c:majorTickMark val="none"/>
        <c:minorTickMark val="none"/>
        <c:tickLblPos val="nextTo"/>
        <c:crossAx val="39869760"/>
        <c:crosses val="autoZero"/>
        <c:crossBetween val="midCat"/>
      </c:valAx>
      <c:valAx>
        <c:axId val="39869760"/>
        <c:scaling>
          <c:orientation val="minMax"/>
        </c:scaling>
        <c:delete val="0"/>
        <c:axPos val="l"/>
        <c:title>
          <c:tx>
            <c:rich>
              <a:bodyPr/>
              <a:lstStyle/>
              <a:p>
                <a:pPr>
                  <a:defRPr/>
                </a:pPr>
                <a:r>
                  <a:rPr lang="en-US" sz="1000" b="1" i="0" u="none" strike="noStrike" baseline="0">
                    <a:effectLst/>
                  </a:rPr>
                  <a:t>% de </a:t>
                </a:r>
                <a:r>
                  <a:rPr lang="en-US"/>
                  <a:t>alumnos</a:t>
                </a:r>
              </a:p>
            </c:rich>
          </c:tx>
          <c:layout/>
          <c:overlay val="0"/>
        </c:title>
        <c:numFmt formatCode="0.00%" sourceLinked="1"/>
        <c:majorTickMark val="out"/>
        <c:minorTickMark val="none"/>
        <c:tickLblPos val="nextTo"/>
        <c:crossAx val="39869184"/>
        <c:crosses val="autoZero"/>
        <c:crossBetween val="midCat"/>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t>Distribución del tipo de centro en</a:t>
            </a:r>
            <a:r>
              <a:rPr lang="en-US" sz="1400" baseline="0"/>
              <a:t> el que ha cursado sus estudios previos a la universida</a:t>
            </a:r>
            <a:r>
              <a:rPr lang="en-US" baseline="0"/>
              <a:t>d</a:t>
            </a:r>
            <a:r>
              <a:rPr lang="en-US"/>
              <a:t> </a:t>
            </a:r>
          </a:p>
        </c:rich>
      </c:tx>
      <c:layout/>
      <c:overlay val="1"/>
    </c:title>
    <c:autoTitleDeleted val="0"/>
    <c:view3D>
      <c:rotX val="30"/>
      <c:rotY val="0"/>
      <c:rAngAx val="0"/>
    </c:view3D>
    <c:floor>
      <c:thickness val="0"/>
    </c:floor>
    <c:sideWall>
      <c:thickness val="0"/>
    </c:sideWall>
    <c:backWall>
      <c:thickness val="0"/>
    </c:backWall>
    <c:plotArea>
      <c:layout>
        <c:manualLayout>
          <c:layoutTarget val="inner"/>
          <c:xMode val="edge"/>
          <c:yMode val="edge"/>
          <c:x val="9.260715635697668E-2"/>
          <c:y val="0.17613338852499288"/>
          <c:w val="0.57495179228357107"/>
          <c:h val="0.82228936706635547"/>
        </c:manualLayout>
      </c:layout>
      <c:pie3DChart>
        <c:varyColors val="1"/>
        <c:ser>
          <c:idx val="0"/>
          <c:order val="0"/>
          <c:explosion val="25"/>
          <c:dLbls>
            <c:spPr>
              <a:noFill/>
              <a:ln>
                <a:noFill/>
              </a:ln>
              <a:effectLst/>
            </c:spPr>
            <c:dLblPos val="ctr"/>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Centro!$C$8:$C$9</c:f>
              <c:strCache>
                <c:ptCount val="2"/>
                <c:pt idx="0">
                  <c:v>Público</c:v>
                </c:pt>
                <c:pt idx="1">
                  <c:v>Concertado/Privado</c:v>
                </c:pt>
              </c:strCache>
            </c:strRef>
          </c:cat>
          <c:val>
            <c:numRef>
              <c:f>Centro!$F$8:$F$9</c:f>
              <c:numCache>
                <c:formatCode>0.00%</c:formatCode>
                <c:ptCount val="2"/>
                <c:pt idx="0">
                  <c:v>0.64492753623188404</c:v>
                </c:pt>
                <c:pt idx="1">
                  <c:v>0.35507246376811596</c:v>
                </c:pt>
              </c:numCache>
            </c:numRef>
          </c:val>
          <c:extLst>
            <c:ext xmlns:c16="http://schemas.microsoft.com/office/drawing/2014/chart" uri="{C3380CC4-5D6E-409C-BE32-E72D297353CC}">
              <c16:uniqueId val="{00000000-4AB2-488D-8D97-A185FF02D402}"/>
            </c:ext>
          </c:extLst>
        </c:ser>
        <c:dLbls>
          <c:dLblPos val="ctr"/>
          <c:showLegendKey val="0"/>
          <c:showVal val="1"/>
          <c:showCatName val="0"/>
          <c:showSerName val="0"/>
          <c:showPercent val="0"/>
          <c:showBubbleSize val="0"/>
          <c:showLeaderLines val="1"/>
        </c:dLbls>
      </c:pie3DChart>
    </c:plotArea>
    <c:legend>
      <c:legendPos val="r"/>
      <c:layout/>
      <c:overlay val="0"/>
    </c:legend>
    <c:plotVisOnly val="1"/>
    <c:dispBlanksAs val="gap"/>
    <c:showDLblsOverMax val="0"/>
  </c:chart>
  <c:spPr>
    <a:solidFill>
      <a:schemeClr val="accent4">
        <a:lumMod val="40000"/>
        <a:lumOff val="60000"/>
      </a:schemeClr>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7"/>
    </mc:Choice>
    <mc:Fallback>
      <c:style val="27"/>
    </mc:Fallback>
  </mc:AlternateContent>
  <c:chart>
    <c:title>
      <c:tx>
        <c:rich>
          <a:bodyPr/>
          <a:lstStyle/>
          <a:p>
            <a:pPr>
              <a:defRPr/>
            </a:pPr>
            <a:r>
              <a:rPr lang="es-ES"/>
              <a:t>Distribución de la regularidad en la práctica de deporte</a:t>
            </a:r>
          </a:p>
        </c:rich>
      </c:tx>
      <c:layout>
        <c:manualLayout>
          <c:xMode val="edge"/>
          <c:yMode val="edge"/>
          <c:x val="0.13654005249343834"/>
          <c:y val="9.3403368699133769E-3"/>
        </c:manualLayout>
      </c:layout>
      <c:overlay val="0"/>
    </c:title>
    <c:autoTitleDeleted val="0"/>
    <c:plotArea>
      <c:layout>
        <c:manualLayout>
          <c:layoutTarget val="inner"/>
          <c:xMode val="edge"/>
          <c:yMode val="edge"/>
          <c:x val="2.6666666666666668E-2"/>
          <c:y val="0.22321326113305603"/>
          <c:w val="0.95733333333333337"/>
          <c:h val="0.52543256056142051"/>
        </c:manualLayout>
      </c:layout>
      <c:bar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Deporte!$C$15:$C$19</c:f>
              <c:strCache>
                <c:ptCount val="5"/>
                <c:pt idx="0">
                  <c:v>Nunca </c:v>
                </c:pt>
                <c:pt idx="1">
                  <c:v>Ocasionalmente (Menos de 1 vez/semana)</c:v>
                </c:pt>
                <c:pt idx="2">
                  <c:v>Regularmente (1 ó 2 veces/semana)</c:v>
                </c:pt>
                <c:pt idx="3">
                  <c:v>Frecuentemente (3 ó 4 veces/semana)</c:v>
                </c:pt>
                <c:pt idx="4">
                  <c:v>Muy frecuentemente (5 o más veces/semana)</c:v>
                </c:pt>
              </c:strCache>
            </c:strRef>
          </c:cat>
          <c:val>
            <c:numRef>
              <c:f>Deporte!$F$15:$F$19</c:f>
              <c:numCache>
                <c:formatCode>0.00%</c:formatCode>
                <c:ptCount val="5"/>
                <c:pt idx="0">
                  <c:v>0.05</c:v>
                </c:pt>
                <c:pt idx="1">
                  <c:v>0.27857142857142858</c:v>
                </c:pt>
                <c:pt idx="2">
                  <c:v>0.35</c:v>
                </c:pt>
                <c:pt idx="3">
                  <c:v>0.23571428571428571</c:v>
                </c:pt>
                <c:pt idx="4">
                  <c:v>8.5714285714285715E-2</c:v>
                </c:pt>
              </c:numCache>
            </c:numRef>
          </c:val>
          <c:extLst>
            <c:ext xmlns:c16="http://schemas.microsoft.com/office/drawing/2014/chart" uri="{C3380CC4-5D6E-409C-BE32-E72D297353CC}">
              <c16:uniqueId val="{00000000-6010-4D30-AC47-1C304A5F7806}"/>
            </c:ext>
          </c:extLst>
        </c:ser>
        <c:dLbls>
          <c:showLegendKey val="0"/>
          <c:showVal val="1"/>
          <c:showCatName val="0"/>
          <c:showSerName val="0"/>
          <c:showPercent val="0"/>
          <c:showBubbleSize val="0"/>
        </c:dLbls>
        <c:gapWidth val="150"/>
        <c:overlap val="-25"/>
        <c:axId val="39288832"/>
        <c:axId val="39536896"/>
      </c:barChart>
      <c:catAx>
        <c:axId val="39288832"/>
        <c:scaling>
          <c:orientation val="minMax"/>
        </c:scaling>
        <c:delete val="0"/>
        <c:axPos val="b"/>
        <c:numFmt formatCode="General" sourceLinked="0"/>
        <c:majorTickMark val="none"/>
        <c:minorTickMark val="none"/>
        <c:tickLblPos val="nextTo"/>
        <c:crossAx val="39536896"/>
        <c:crosses val="autoZero"/>
        <c:auto val="1"/>
        <c:lblAlgn val="ctr"/>
        <c:lblOffset val="100"/>
        <c:noMultiLvlLbl val="0"/>
      </c:catAx>
      <c:valAx>
        <c:axId val="39536896"/>
        <c:scaling>
          <c:orientation val="minMax"/>
        </c:scaling>
        <c:delete val="1"/>
        <c:axPos val="l"/>
        <c:numFmt formatCode="0.00%" sourceLinked="1"/>
        <c:majorTickMark val="none"/>
        <c:minorTickMark val="none"/>
        <c:tickLblPos val="nextTo"/>
        <c:crossAx val="39288832"/>
        <c:crosses val="autoZero"/>
        <c:crossBetween val="between"/>
      </c:valAx>
      <c:spPr>
        <a:solidFill>
          <a:schemeClr val="accent1">
            <a:lumMod val="40000"/>
            <a:lumOff val="60000"/>
          </a:schemeClr>
        </a:solidFill>
      </c:spPr>
    </c:plotArea>
    <c:plotVisOnly val="1"/>
    <c:dispBlanksAs val="gap"/>
    <c:showDLblsOverMax val="0"/>
  </c:chart>
  <c:spPr>
    <a:solidFill>
      <a:schemeClr val="accent1">
        <a:lumMod val="40000"/>
        <a:lumOff val="60000"/>
      </a:schemeClr>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a:pPr>
            <a:r>
              <a:rPr lang="es-ES" sz="1400"/>
              <a:t>Distribución</a:t>
            </a:r>
            <a:r>
              <a:rPr lang="es-ES" sz="1400" baseline="0"/>
              <a:t> del número de horas semanales que dedican a las redes sociales los alumnos de primer curso de GECO</a:t>
            </a:r>
            <a:endParaRPr lang="es-ES" sz="1400"/>
          </a:p>
        </c:rich>
      </c:tx>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spPr>
            <a:ln>
              <a:solidFill>
                <a:schemeClr val="tx1"/>
              </a:solidFill>
            </a:ln>
          </c:spPr>
          <c:invertIfNegative val="0"/>
          <c:cat>
            <c:numRef>
              <c:f>Horasred!$F$14:$F$23</c:f>
              <c:numCache>
                <c:formatCode>General</c:formatCode>
                <c:ptCount val="10"/>
                <c:pt idx="0">
                  <c:v>3.5</c:v>
                </c:pt>
                <c:pt idx="1">
                  <c:v>10.5</c:v>
                </c:pt>
                <c:pt idx="2">
                  <c:v>17.5</c:v>
                </c:pt>
                <c:pt idx="3">
                  <c:v>24.5</c:v>
                </c:pt>
                <c:pt idx="4">
                  <c:v>31.5</c:v>
                </c:pt>
                <c:pt idx="5">
                  <c:v>38.5</c:v>
                </c:pt>
                <c:pt idx="6">
                  <c:v>45.5</c:v>
                </c:pt>
                <c:pt idx="7">
                  <c:v>52.5</c:v>
                </c:pt>
                <c:pt idx="8">
                  <c:v>59.5</c:v>
                </c:pt>
                <c:pt idx="9">
                  <c:v>66.5</c:v>
                </c:pt>
              </c:numCache>
            </c:numRef>
          </c:cat>
          <c:val>
            <c:numRef>
              <c:f>Horasred!$H$14:$H$23</c:f>
              <c:numCache>
                <c:formatCode>0.00%</c:formatCode>
                <c:ptCount val="10"/>
                <c:pt idx="0">
                  <c:v>0.45588235294117646</c:v>
                </c:pt>
                <c:pt idx="1">
                  <c:v>0.25</c:v>
                </c:pt>
                <c:pt idx="2">
                  <c:v>9.5588235294117641E-2</c:v>
                </c:pt>
                <c:pt idx="3">
                  <c:v>1.4705882352941176E-2</c:v>
                </c:pt>
                <c:pt idx="4">
                  <c:v>8.0882352941176475E-2</c:v>
                </c:pt>
                <c:pt idx="5">
                  <c:v>0</c:v>
                </c:pt>
                <c:pt idx="6">
                  <c:v>0</c:v>
                </c:pt>
                <c:pt idx="7">
                  <c:v>2.2058823529411766E-2</c:v>
                </c:pt>
                <c:pt idx="8">
                  <c:v>7.3529411764705881E-3</c:v>
                </c:pt>
                <c:pt idx="9">
                  <c:v>7.3529411764705885E-2</c:v>
                </c:pt>
              </c:numCache>
            </c:numRef>
          </c:val>
          <c:extLst>
            <c:ext xmlns:c16="http://schemas.microsoft.com/office/drawing/2014/chart" uri="{C3380CC4-5D6E-409C-BE32-E72D297353CC}">
              <c16:uniqueId val="{00000000-2553-4B13-BEA3-E201A1AAC7F4}"/>
            </c:ext>
          </c:extLst>
        </c:ser>
        <c:dLbls>
          <c:showLegendKey val="0"/>
          <c:showVal val="0"/>
          <c:showCatName val="0"/>
          <c:showSerName val="0"/>
          <c:showPercent val="0"/>
          <c:showBubbleSize val="0"/>
        </c:dLbls>
        <c:gapWidth val="0"/>
        <c:gapDepth val="129"/>
        <c:shape val="box"/>
        <c:axId val="39706624"/>
        <c:axId val="39539200"/>
        <c:axId val="0"/>
      </c:bar3DChart>
      <c:catAx>
        <c:axId val="39706624"/>
        <c:scaling>
          <c:orientation val="minMax"/>
        </c:scaling>
        <c:delete val="0"/>
        <c:axPos val="b"/>
        <c:title>
          <c:tx>
            <c:rich>
              <a:bodyPr/>
              <a:lstStyle/>
              <a:p>
                <a:pPr>
                  <a:defRPr/>
                </a:pPr>
                <a:r>
                  <a:rPr lang="es-ES" sz="1200"/>
                  <a:t>Número</a:t>
                </a:r>
                <a:r>
                  <a:rPr lang="es-ES" sz="1200" baseline="0"/>
                  <a:t> de horas</a:t>
                </a:r>
                <a:endParaRPr lang="es-ES" sz="1200"/>
              </a:p>
            </c:rich>
          </c:tx>
          <c:layout>
            <c:manualLayout>
              <c:xMode val="edge"/>
              <c:yMode val="edge"/>
              <c:x val="0.41433616938822243"/>
              <c:y val="0.90620376304042038"/>
            </c:manualLayout>
          </c:layout>
          <c:overlay val="0"/>
        </c:title>
        <c:numFmt formatCode="General" sourceLinked="1"/>
        <c:majorTickMark val="none"/>
        <c:minorTickMark val="none"/>
        <c:tickLblPos val="nextTo"/>
        <c:crossAx val="39539200"/>
        <c:crosses val="autoZero"/>
        <c:auto val="1"/>
        <c:lblAlgn val="ctr"/>
        <c:lblOffset val="100"/>
        <c:noMultiLvlLbl val="0"/>
      </c:catAx>
      <c:valAx>
        <c:axId val="39539200"/>
        <c:scaling>
          <c:orientation val="minMax"/>
        </c:scaling>
        <c:delete val="0"/>
        <c:axPos val="l"/>
        <c:majorGridlines/>
        <c:title>
          <c:tx>
            <c:rich>
              <a:bodyPr/>
              <a:lstStyle/>
              <a:p>
                <a:pPr>
                  <a:defRPr sz="1100"/>
                </a:pPr>
                <a:r>
                  <a:rPr lang="en-US" sz="1100"/>
                  <a:t>% de estudiantes</a:t>
                </a:r>
              </a:p>
            </c:rich>
          </c:tx>
          <c:layout/>
          <c:overlay val="0"/>
        </c:title>
        <c:numFmt formatCode="0.00%" sourceLinked="1"/>
        <c:majorTickMark val="out"/>
        <c:minorTickMark val="none"/>
        <c:tickLblPos val="nextTo"/>
        <c:crossAx val="39706624"/>
        <c:crosses val="autoZero"/>
        <c:crossBetween val="between"/>
      </c:valAx>
    </c:plotArea>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309561</xdr:colOff>
      <xdr:row>15</xdr:row>
      <xdr:rowOff>185736</xdr:rowOff>
    </xdr:from>
    <xdr:to>
      <xdr:col>3</xdr:col>
      <xdr:colOff>761999</xdr:colOff>
      <xdr:row>32</xdr:row>
      <xdr:rowOff>19049</xdr:rowOff>
    </xdr:to>
    <xdr:graphicFrame macro="">
      <xdr:nvGraphicFramePr>
        <xdr:cNvPr id="2" name="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723900</xdr:colOff>
      <xdr:row>15</xdr:row>
      <xdr:rowOff>180975</xdr:rowOff>
    </xdr:from>
    <xdr:ext cx="4448175" cy="3086100"/>
    <xdr:sp macro="" textlink="">
      <xdr:nvSpPr>
        <xdr:cNvPr id="3" name="2 CuadroTexto"/>
        <xdr:cNvSpPr txBox="1"/>
      </xdr:nvSpPr>
      <xdr:spPr>
        <a:xfrm>
          <a:off x="6581775" y="3362325"/>
          <a:ext cx="4448175" cy="3086100"/>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t>a) </a:t>
          </a:r>
          <a:r>
            <a:rPr lang="es-ES" sz="1100"/>
            <a:t>La</a:t>
          </a:r>
          <a:r>
            <a:rPr lang="es-ES" sz="1100" baseline="0"/>
            <a:t> población es el conjunto de estudiantes de 1º GECO que cursaban Estadística I el curso 2015-2016. La variable analizada (</a:t>
          </a:r>
          <a:r>
            <a:rPr lang="es-ES" sz="1100" i="1" baseline="0"/>
            <a:t>Lugar de residencia familiar</a:t>
          </a:r>
          <a:r>
            <a:rPr lang="es-ES" sz="1100" baseline="0"/>
            <a:t>) es una variable cualitativa, medida en una escala nominal.</a:t>
          </a:r>
        </a:p>
        <a:p>
          <a:endParaRPr lang="es-ES" sz="1100" baseline="0"/>
        </a:p>
        <a:p>
          <a:r>
            <a:rPr lang="es-ES" sz="1100" b="1" baseline="0"/>
            <a:t>b) </a:t>
          </a:r>
          <a:r>
            <a:rPr lang="es-ES" sz="1100" baseline="0"/>
            <a:t>Como se trata de una variable nominal no tiene sentido calcular frecuencias acumuladas, por lo que sólo se han calculado las frecuencias absolutas y relativas ordinarias (ver tabla arriba).</a:t>
          </a:r>
        </a:p>
        <a:p>
          <a:endParaRPr lang="es-ES" sz="1100" baseline="0"/>
        </a:p>
        <a:p>
          <a:r>
            <a:rPr lang="es-ES" sz="1100" b="1" baseline="0"/>
            <a:t>c) </a:t>
          </a:r>
          <a:r>
            <a:rPr lang="es-ES" sz="1100" baseline="0"/>
            <a:t>Un gráfico apropiado es un diagrama de sectores (otro posible sería un diagrama de barras). A la vista del gráfico destaca la porción (más de la mitad) que ocupan los estudiantes que tienen su lugar de residencia familiar en Zaragoza capital.</a:t>
          </a:r>
          <a:endParaRPr lang="es-ES" sz="1100"/>
        </a:p>
        <a:p>
          <a:endParaRPr lang="es-ES" sz="1100"/>
        </a:p>
        <a:p>
          <a:r>
            <a:rPr lang="es-ES" sz="1100" b="1"/>
            <a:t>d) </a:t>
          </a:r>
          <a:r>
            <a:rPr lang="es-ES" sz="1100"/>
            <a:t>Como se trata de una variable nominal, sólo</a:t>
          </a:r>
          <a:r>
            <a:rPr lang="es-ES" sz="1100" baseline="0"/>
            <a:t> tiene sentido calcular la moda. Esta es 'Zaragoza capital' que representa el lugar de residencia familiar más frecuente de los estudiantes de 1º GECO del curso 2015-2016, como ya se había destacado en el gráfico de sectores.</a:t>
          </a:r>
          <a:endParaRPr lang="es-E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761999</xdr:colOff>
      <xdr:row>14</xdr:row>
      <xdr:rowOff>142874</xdr:rowOff>
    </xdr:from>
    <xdr:to>
      <xdr:col>6</xdr:col>
      <xdr:colOff>847724</xdr:colOff>
      <xdr:row>33</xdr:row>
      <xdr:rowOff>123824</xdr:rowOff>
    </xdr:to>
    <xdr:graphicFrame macro="">
      <xdr:nvGraphicFramePr>
        <xdr:cNvPr id="2" name="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352424</xdr:colOff>
      <xdr:row>14</xdr:row>
      <xdr:rowOff>171448</xdr:rowOff>
    </xdr:from>
    <xdr:ext cx="5248276" cy="3590927"/>
    <xdr:sp macro="" textlink="">
      <xdr:nvSpPr>
        <xdr:cNvPr id="3" name="2 CuadroTexto"/>
        <xdr:cNvSpPr txBox="1"/>
      </xdr:nvSpPr>
      <xdr:spPr>
        <a:xfrm>
          <a:off x="6305549" y="2990848"/>
          <a:ext cx="5248276" cy="3590927"/>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t>a) </a:t>
          </a:r>
          <a:r>
            <a:rPr lang="es-ES" sz="1100" baseline="0"/>
            <a:t>La variable analizada (</a:t>
          </a:r>
          <a:r>
            <a:rPr lang="es-ES" sz="1100" i="1" baseline="0"/>
            <a:t>Número de hermanos</a:t>
          </a:r>
          <a:r>
            <a:rPr lang="es-ES" sz="1100" baseline="0"/>
            <a:t>) es una variable cuantitativa discreta, medida en una escala de tipo razón.</a:t>
          </a:r>
        </a:p>
        <a:p>
          <a:endParaRPr lang="es-ES" sz="1100" baseline="0"/>
        </a:p>
        <a:p>
          <a:r>
            <a:rPr lang="es-ES" sz="1100" b="1" baseline="0"/>
            <a:t>b) </a:t>
          </a:r>
          <a:r>
            <a:rPr lang="es-ES" sz="1100" baseline="0"/>
            <a:t>Como se trata de una variable cuantitativa con pocos valores distintos, se decide construir la tabla de frecuencias no agrupando en intervalos . Sí tiene sentido calcular frecuencias acumuladas, por lo que se han calculado las frecuencias absolutas y relativas ordinaria y acumuladas (ver tabla arriba).</a:t>
          </a:r>
        </a:p>
        <a:p>
          <a:endParaRPr lang="es-ES" sz="1100" baseline="0"/>
        </a:p>
        <a:p>
          <a:r>
            <a:rPr lang="es-ES" sz="1100" b="1" baseline="0"/>
            <a:t>c) </a:t>
          </a:r>
          <a:r>
            <a:rPr lang="es-ES" sz="1100" baseline="0"/>
            <a:t>Un gráfico apropiado es un diagrama de barras. A la vista del gráfico destaca que para la mayoría de los estudiantes, en su familia son dos hermanos (incluido el estudiante).</a:t>
          </a:r>
        </a:p>
        <a:p>
          <a:endParaRPr lang="es-ES" sz="1100" baseline="0"/>
        </a:p>
        <a:p>
          <a:r>
            <a:rPr lang="es-ES" sz="1100" b="1" baseline="0"/>
            <a:t>d) </a:t>
          </a:r>
          <a:r>
            <a:rPr lang="es-ES" sz="1100" baseline="0"/>
            <a:t>Puesto que la variable está definida como número de hermanos incluido el alumno, el porcentaje de estudiantes sin hermanos equivale al valor 1. Por tanto, hay 20 alumnos sin hermanos y repesentan el 15,75%.</a:t>
          </a:r>
        </a:p>
        <a:p>
          <a:endParaRPr lang="es-ES" sz="1100" baseline="0"/>
        </a:p>
        <a:p>
          <a:r>
            <a:rPr lang="es-ES" sz="1100" b="1" baseline="0"/>
            <a:t>e) </a:t>
          </a:r>
          <a:r>
            <a:rPr lang="es-ES" sz="1100" baseline="0"/>
            <a:t>El porcentaje de alumnos "con al menos dos hermanos" es lo mismo que el porcentaje de alumnos que "son al menos tres hermanos en la familia". Corresponde a la suma de los porcentajes de los valores 3 a 6. La forma correcta de trabajar es restar al 100% la frecuenca acumulada de los valores hasta el 2 (2 hrmanos enla familia). El 28,35% tienen al menos 2 hermanos (son al menos tres hermanos en la familia).</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19050</xdr:colOff>
      <xdr:row>23</xdr:row>
      <xdr:rowOff>9525</xdr:rowOff>
    </xdr:from>
    <xdr:to>
      <xdr:col>10</xdr:col>
      <xdr:colOff>876300</xdr:colOff>
      <xdr:row>37</xdr:row>
      <xdr:rowOff>0</xdr:rowOff>
    </xdr:to>
    <xdr:graphicFrame macro="">
      <xdr:nvGraphicFramePr>
        <xdr:cNvPr id="4"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37</xdr:row>
      <xdr:rowOff>85725</xdr:rowOff>
    </xdr:from>
    <xdr:to>
      <xdr:col>10</xdr:col>
      <xdr:colOff>885826</xdr:colOff>
      <xdr:row>51</xdr:row>
      <xdr:rowOff>161925</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53</xdr:row>
      <xdr:rowOff>19050</xdr:rowOff>
    </xdr:from>
    <xdr:to>
      <xdr:col>10</xdr:col>
      <xdr:colOff>847725</xdr:colOff>
      <xdr:row>67</xdr:row>
      <xdr:rowOff>95250</xdr:rowOff>
    </xdr:to>
    <xdr:graphicFrame macro="">
      <xdr:nvGraphicFramePr>
        <xdr:cNvPr id="7"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552450</xdr:colOff>
      <xdr:row>68</xdr:row>
      <xdr:rowOff>85725</xdr:rowOff>
    </xdr:from>
    <xdr:ext cx="5791200" cy="3933826"/>
    <xdr:sp macro="" textlink="">
      <xdr:nvSpPr>
        <xdr:cNvPr id="9" name="8 CuadroTexto"/>
        <xdr:cNvSpPr txBox="1"/>
      </xdr:nvSpPr>
      <xdr:spPr>
        <a:xfrm>
          <a:off x="3600450" y="13201650"/>
          <a:ext cx="5791200" cy="3933826"/>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t>a) </a:t>
          </a:r>
          <a:r>
            <a:rPr lang="es-ES" sz="1100" baseline="0"/>
            <a:t>La variable analizada (</a:t>
          </a:r>
          <a:r>
            <a:rPr lang="es-ES" sz="1100" i="1" baseline="0"/>
            <a:t>Estatura en cm.) </a:t>
          </a:r>
          <a:r>
            <a:rPr lang="es-ES" sz="1100" baseline="0"/>
            <a:t> es una variable cuantitativa continua, medida en una escala de tipo razón.</a:t>
          </a:r>
        </a:p>
        <a:p>
          <a:endParaRPr lang="es-ES" sz="1100" baseline="0"/>
        </a:p>
        <a:p>
          <a:r>
            <a:rPr lang="es-ES" sz="1100" b="1" baseline="0"/>
            <a:t>b) y c) </a:t>
          </a:r>
          <a:r>
            <a:rPr lang="es-ES" sz="1100" baseline="0"/>
            <a:t>Como se trata de una variable cuantitativa con muchos valores distintos, es mejor construir la tabla de frecuencias agrupando en intervalos tal y como se ha indicado en el enunciado. Además de calcular las frecuencias absolutas y relativas ordinarias y acumuladas se necesitará calcular las marcas de clase (ver tabla arriba). Realizamos este cálculo para todos los alumnos y después por separado según el sexo del alumno.</a:t>
          </a:r>
        </a:p>
        <a:p>
          <a:endParaRPr lang="es-ES" sz="1100" baseline="0"/>
        </a:p>
        <a:p>
          <a:pPr algn="l"/>
          <a:r>
            <a:rPr lang="es-ES" sz="1100" b="1" baseline="0"/>
            <a:t>d) </a:t>
          </a:r>
          <a:r>
            <a:rPr lang="es-ES" sz="1100" baseline="0"/>
            <a:t>Un gráfico apropiado es un histograma (también lo sería un polígono de frecuencias). Como todas las amplitudes son iguales podemos utilizar como alturas las frecuencias relativas. A la vista del gráfico observamos que la distribución es más bien simétrica situándose la mayor frecuencia el los valores centrales. Observamos que hay varios intervalos con bastante frecuencia (casi multimodal). El intervalo más frecuente es 170-175 pero hay dos intervalos con una frecuencia elevada que son 160-165 y 175-180. Al realizar el gráfico según el sexo del alumno vemos que los chicos tienen una distribución simétrica con algo de cola a la izquierda y unimodal. En el gráfico de las chicas vemos algún dato extremo en la parte derecha  siendo también una distribución unimodal  donde el intervalo más frecuente es 160-165.</a:t>
          </a:r>
        </a:p>
        <a:p>
          <a:pPr algn="l"/>
          <a:endParaRPr lang="es-ES" sz="1100" baseline="0"/>
        </a:p>
        <a:p>
          <a:pPr algn="l"/>
          <a:r>
            <a:rPr lang="es-ES" sz="1100" b="1" baseline="0"/>
            <a:t>e) </a:t>
          </a:r>
          <a:r>
            <a:rPr lang="es-ES" sz="1100" baseline="0"/>
            <a:t>El </a:t>
          </a:r>
          <a:r>
            <a:rPr lang="es-ES" sz="1100" b="1" baseline="0"/>
            <a:t>69,78%</a:t>
          </a:r>
          <a:r>
            <a:rPr lang="es-ES" sz="1100" baseline="0"/>
            <a:t> de los estudiantes miden entre 1,60 y 1,80 m.</a:t>
          </a:r>
        </a:p>
        <a:p>
          <a:pPr algn="l"/>
          <a:endParaRPr lang="es-ES" sz="1100" baseline="0"/>
        </a:p>
        <a:p>
          <a:pPr algn="l"/>
          <a:r>
            <a:rPr lang="es-ES" sz="1100" b="1" baseline="0"/>
            <a:t>f) </a:t>
          </a:r>
          <a:r>
            <a:rPr lang="es-ES" sz="1100" b="0" baseline="0"/>
            <a:t>El </a:t>
          </a:r>
          <a:r>
            <a:rPr lang="es-ES" sz="1100" b="1" baseline="0"/>
            <a:t>3.77%</a:t>
          </a:r>
          <a:r>
            <a:rPr lang="es-ES" sz="1100" b="0" baseline="0"/>
            <a:t> de alumnas mide más de 1,80m y el </a:t>
          </a:r>
          <a:r>
            <a:rPr lang="es-ES" sz="1100" b="1" baseline="0"/>
            <a:t>16,87%</a:t>
          </a:r>
          <a:r>
            <a:rPr lang="es-ES" sz="1100" b="0" baseline="0"/>
            <a:t> de alumnos mide menos de 1,70 m.</a:t>
          </a:r>
        </a:p>
        <a:p>
          <a:pPr algn="l"/>
          <a:endParaRPr lang="es-ES" sz="1100"/>
        </a:p>
        <a:p>
          <a:endParaRPr lang="es-ES" sz="1100"/>
        </a:p>
        <a:p>
          <a:endParaRPr lang="es-ES" sz="1100"/>
        </a:p>
      </xdr:txBody>
    </xdr:sp>
    <xdr:clientData/>
  </xdr:oneCellAnchor>
  <xdr:twoCellAnchor>
    <xdr:from>
      <xdr:col>11</xdr:col>
      <xdr:colOff>0</xdr:colOff>
      <xdr:row>23</xdr:row>
      <xdr:rowOff>0</xdr:rowOff>
    </xdr:from>
    <xdr:to>
      <xdr:col>16</xdr:col>
      <xdr:colOff>381000</xdr:colOff>
      <xdr:row>37</xdr:row>
      <xdr:rowOff>0</xdr:rowOff>
    </xdr:to>
    <xdr:graphicFrame macro="">
      <xdr:nvGraphicFramePr>
        <xdr:cNvPr id="10" name="9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xdr:colOff>
      <xdr:row>37</xdr:row>
      <xdr:rowOff>95250</xdr:rowOff>
    </xdr:from>
    <xdr:to>
      <xdr:col>16</xdr:col>
      <xdr:colOff>390526</xdr:colOff>
      <xdr:row>51</xdr:row>
      <xdr:rowOff>171450</xdr:rowOff>
    </xdr:to>
    <xdr:graphicFrame macro="">
      <xdr:nvGraphicFramePr>
        <xdr:cNvPr id="11" name="1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53</xdr:row>
      <xdr:rowOff>0</xdr:rowOff>
    </xdr:from>
    <xdr:to>
      <xdr:col>16</xdr:col>
      <xdr:colOff>361950</xdr:colOff>
      <xdr:row>67</xdr:row>
      <xdr:rowOff>76200</xdr:rowOff>
    </xdr:to>
    <xdr:graphicFrame macro="">
      <xdr:nvGraphicFramePr>
        <xdr:cNvPr id="12" name="1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9524</xdr:colOff>
      <xdr:row>12</xdr:row>
      <xdr:rowOff>71437</xdr:rowOff>
    </xdr:from>
    <xdr:to>
      <xdr:col>5</xdr:col>
      <xdr:colOff>228600</xdr:colOff>
      <xdr:row>28</xdr:row>
      <xdr:rowOff>104775</xdr:rowOff>
    </xdr:to>
    <xdr:graphicFrame macro="">
      <xdr:nvGraphicFramePr>
        <xdr:cNvPr id="2" name="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xdr:row>
      <xdr:rowOff>0</xdr:rowOff>
    </xdr:from>
    <xdr:to>
      <xdr:col>6</xdr:col>
      <xdr:colOff>571501</xdr:colOff>
      <xdr:row>4</xdr:row>
      <xdr:rowOff>142875</xdr:rowOff>
    </xdr:to>
    <xdr:sp macro="" textlink="">
      <xdr:nvSpPr>
        <xdr:cNvPr id="8" name="Rectángulo 7"/>
        <xdr:cNvSpPr/>
      </xdr:nvSpPr>
      <xdr:spPr>
        <a:xfrm>
          <a:off x="1828800" y="190500"/>
          <a:ext cx="5686426" cy="7143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ES" sz="1400">
              <a:solidFill>
                <a:schemeClr val="lt1"/>
              </a:solidFill>
              <a:effectLst/>
              <a:latin typeface="+mn-lt"/>
              <a:ea typeface="+mn-ea"/>
              <a:cs typeface="+mn-cs"/>
            </a:rPr>
            <a:t>1.</a:t>
          </a:r>
          <a:r>
            <a:rPr lang="es-ES" sz="1400" baseline="0">
              <a:solidFill>
                <a:schemeClr val="lt1"/>
              </a:solidFill>
              <a:effectLst/>
              <a:latin typeface="+mn-lt"/>
              <a:ea typeface="+mn-ea"/>
              <a:cs typeface="+mn-cs"/>
            </a:rPr>
            <a:t> </a:t>
          </a:r>
          <a:r>
            <a:rPr lang="es-ES_tradnl" sz="1400">
              <a:solidFill>
                <a:schemeClr val="lt1"/>
              </a:solidFill>
              <a:effectLst/>
              <a:latin typeface="+mn-lt"/>
              <a:ea typeface="+mn-ea"/>
              <a:cs typeface="+mn-cs"/>
            </a:rPr>
            <a:t>Describe el tipo y escala de medida de la variable </a:t>
          </a:r>
          <a:r>
            <a:rPr lang="es-ES_tradnl" sz="1400" i="1">
              <a:solidFill>
                <a:schemeClr val="lt1"/>
              </a:solidFill>
              <a:effectLst/>
              <a:latin typeface="+mn-lt"/>
              <a:ea typeface="+mn-ea"/>
              <a:cs typeface="+mn-cs"/>
            </a:rPr>
            <a:t>Centro</a:t>
          </a:r>
          <a:r>
            <a:rPr lang="es-ES_tradnl" sz="140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s-ES_tradnl" sz="1400">
              <a:solidFill>
                <a:schemeClr val="lt1"/>
              </a:solidFill>
              <a:effectLst/>
              <a:latin typeface="+mn-lt"/>
              <a:ea typeface="+mn-ea"/>
              <a:cs typeface="+mn-cs"/>
            </a:rPr>
            <a:t>Realiza la tabla de frecuencias de esta variable y su representación gráfica.</a:t>
          </a:r>
          <a:endParaRPr lang="es-ES" sz="1400">
            <a:solidFill>
              <a:schemeClr val="lt1"/>
            </a:solidFill>
            <a:effectLst/>
            <a:latin typeface="+mn-lt"/>
            <a:ea typeface="+mn-ea"/>
            <a:cs typeface="+mn-cs"/>
          </a:endParaRPr>
        </a:p>
        <a:p>
          <a:pPr algn="l"/>
          <a:endParaRPr lang="es-E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571500</xdr:colOff>
      <xdr:row>22</xdr:row>
      <xdr:rowOff>19050</xdr:rowOff>
    </xdr:from>
    <xdr:to>
      <xdr:col>5</xdr:col>
      <xdr:colOff>733425</xdr:colOff>
      <xdr:row>37</xdr:row>
      <xdr:rowOff>28575</xdr:rowOff>
    </xdr:to>
    <xdr:graphicFrame macro="">
      <xdr:nvGraphicFramePr>
        <xdr:cNvPr id="2" name="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0</xdr:colOff>
      <xdr:row>22</xdr:row>
      <xdr:rowOff>0</xdr:rowOff>
    </xdr:from>
    <xdr:ext cx="5276850" cy="2362200"/>
    <xdr:sp macro="" textlink="">
      <xdr:nvSpPr>
        <xdr:cNvPr id="4" name="3 CuadroTexto"/>
        <xdr:cNvSpPr txBox="1"/>
      </xdr:nvSpPr>
      <xdr:spPr>
        <a:xfrm>
          <a:off x="7391400" y="2647950"/>
          <a:ext cx="5276850" cy="2362200"/>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t>a) </a:t>
          </a:r>
          <a:r>
            <a:rPr lang="es-ES" sz="1100" baseline="0"/>
            <a:t>La variable analizada (</a:t>
          </a:r>
          <a:r>
            <a:rPr lang="es-ES" sz="1100" i="1" baseline="0"/>
            <a:t>Número de horas semanales dedicadas a redes sociales</a:t>
          </a:r>
          <a:r>
            <a:rPr lang="es-ES" sz="1100" baseline="0"/>
            <a:t>) es una variable cualitativa, medida en una escala ordinal.</a:t>
          </a:r>
        </a:p>
        <a:p>
          <a:endParaRPr lang="es-ES" sz="1100" baseline="0"/>
        </a:p>
        <a:p>
          <a:r>
            <a:rPr lang="es-ES" sz="1100" b="1" baseline="0"/>
            <a:t>b) </a:t>
          </a:r>
          <a:r>
            <a:rPr lang="es-ES" sz="1100" baseline="0"/>
            <a:t>En el gráfico observamos que lo más frecuente es practicar deporte una o dos vec es a la semana y que los valores nunca o muy frecuentemente se presentan con una frecuencia baja (5% y 8,57%, respectivamente).</a:t>
          </a:r>
          <a:endParaRPr lang="es-ES" sz="1100"/>
        </a:p>
        <a:p>
          <a:r>
            <a:rPr lang="es-ES" sz="1100"/>
            <a:t> </a:t>
          </a:r>
        </a:p>
        <a:p>
          <a:pPr marL="0" marR="0" indent="0" algn="l" defTabSz="914400" eaLnBrk="1" fontAlgn="auto" latinLnBrk="0" hangingPunct="1">
            <a:lnSpc>
              <a:spcPct val="100000"/>
            </a:lnSpc>
            <a:spcBef>
              <a:spcPts val="0"/>
            </a:spcBef>
            <a:spcAft>
              <a:spcPts val="0"/>
            </a:spcAft>
            <a:buClrTx/>
            <a:buSzTx/>
            <a:buFontTx/>
            <a:buNone/>
            <a:tabLst/>
            <a:defRPr/>
          </a:pPr>
          <a:r>
            <a:rPr lang="es-ES" sz="1100"/>
            <a:t>c)</a:t>
          </a:r>
          <a:r>
            <a:rPr lang="es-ES" sz="1100" baseline="0"/>
            <a:t> El </a:t>
          </a:r>
          <a:r>
            <a:rPr lang="es-ES" sz="1100" baseline="0">
              <a:solidFill>
                <a:schemeClr val="tx1"/>
              </a:solidFill>
              <a:effectLst/>
              <a:latin typeface="+mn-lt"/>
              <a:ea typeface="+mn-ea"/>
              <a:cs typeface="+mn-cs"/>
            </a:rPr>
            <a:t>8,57%, </a:t>
          </a:r>
          <a:r>
            <a:rPr lang="es-ES" sz="1100" baseline="0"/>
            <a:t>de los estudiantes practica 5 o más veces a la semana deporte (es el valor muy frecuentemente) y el 67,86% lo practica como mucho dos veces a la semana (son los valores nunca, ocasionalmente y regularmente).</a:t>
          </a:r>
        </a:p>
      </xdr:txBody>
    </xdr:sp>
    <xdr:clientData/>
  </xdr:oneCellAnchor>
  <xdr:twoCellAnchor>
    <xdr:from>
      <xdr:col>1</xdr:col>
      <xdr:colOff>228600</xdr:colOff>
      <xdr:row>1</xdr:row>
      <xdr:rowOff>19050</xdr:rowOff>
    </xdr:from>
    <xdr:to>
      <xdr:col>5</xdr:col>
      <xdr:colOff>609601</xdr:colOff>
      <xdr:row>10</xdr:row>
      <xdr:rowOff>76200</xdr:rowOff>
    </xdr:to>
    <xdr:sp macro="" textlink="">
      <xdr:nvSpPr>
        <xdr:cNvPr id="6" name="Rectángulo 5"/>
        <xdr:cNvSpPr/>
      </xdr:nvSpPr>
      <xdr:spPr>
        <a:xfrm>
          <a:off x="990600" y="209550"/>
          <a:ext cx="5486401" cy="1771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spcBef>
              <a:spcPts val="600"/>
            </a:spcBef>
          </a:pPr>
          <a:r>
            <a:rPr lang="es-ES" sz="1400">
              <a:solidFill>
                <a:schemeClr val="lt1"/>
              </a:solidFill>
              <a:effectLst/>
              <a:latin typeface="+mn-lt"/>
              <a:ea typeface="+mn-ea"/>
              <a:cs typeface="+mn-cs"/>
            </a:rPr>
            <a:t>2.</a:t>
          </a:r>
          <a:r>
            <a:rPr lang="es-ES" sz="1400" baseline="0">
              <a:solidFill>
                <a:schemeClr val="lt1"/>
              </a:solidFill>
              <a:effectLst/>
              <a:latin typeface="+mn-lt"/>
              <a:ea typeface="+mn-ea"/>
              <a:cs typeface="+mn-cs"/>
            </a:rPr>
            <a:t> </a:t>
          </a:r>
          <a:r>
            <a:rPr lang="es-ES_tradnl" sz="1400">
              <a:solidFill>
                <a:schemeClr val="lt1"/>
              </a:solidFill>
              <a:effectLst/>
              <a:latin typeface="+mn-lt"/>
              <a:ea typeface="+mn-ea"/>
              <a:cs typeface="+mn-cs"/>
            </a:rPr>
            <a:t>Para la variable </a:t>
          </a:r>
          <a:r>
            <a:rPr lang="es-ES_tradnl" sz="1400" i="1">
              <a:solidFill>
                <a:schemeClr val="lt1"/>
              </a:solidFill>
              <a:effectLst/>
              <a:latin typeface="+mn-lt"/>
              <a:ea typeface="+mn-ea"/>
              <a:cs typeface="+mn-cs"/>
            </a:rPr>
            <a:t>Deporte:</a:t>
          </a:r>
          <a:endParaRPr lang="es-ES" sz="1400">
            <a:solidFill>
              <a:schemeClr val="lt1"/>
            </a:solidFill>
            <a:effectLst/>
            <a:latin typeface="+mn-lt"/>
            <a:ea typeface="+mn-ea"/>
            <a:cs typeface="+mn-cs"/>
          </a:endParaRPr>
        </a:p>
        <a:p>
          <a:pPr lvl="0">
            <a:spcBef>
              <a:spcPts val="600"/>
            </a:spcBef>
          </a:pPr>
          <a:r>
            <a:rPr lang="es-ES_tradnl" sz="1400">
              <a:solidFill>
                <a:schemeClr val="lt1"/>
              </a:solidFill>
              <a:effectLst/>
              <a:latin typeface="+mn-lt"/>
              <a:ea typeface="+mn-ea"/>
              <a:cs typeface="+mn-cs"/>
            </a:rPr>
            <a:t>a) Describe el tipo y escala de medida de dicha variable. </a:t>
          </a:r>
          <a:endParaRPr lang="es-ES" sz="1400">
            <a:solidFill>
              <a:schemeClr val="lt1"/>
            </a:solidFill>
            <a:effectLst/>
            <a:latin typeface="+mn-lt"/>
            <a:ea typeface="+mn-ea"/>
            <a:cs typeface="+mn-cs"/>
          </a:endParaRPr>
        </a:p>
        <a:p>
          <a:pPr lvl="0">
            <a:spcBef>
              <a:spcPts val="600"/>
            </a:spcBef>
          </a:pPr>
          <a:r>
            <a:rPr lang="es-ES_tradnl" sz="1400">
              <a:solidFill>
                <a:schemeClr val="lt1"/>
              </a:solidFill>
              <a:effectLst/>
              <a:latin typeface="+mn-lt"/>
              <a:ea typeface="+mn-ea"/>
              <a:cs typeface="+mn-cs"/>
            </a:rPr>
            <a:t>b)</a:t>
          </a:r>
          <a:r>
            <a:rPr lang="es-ES_tradnl" sz="1400" baseline="0">
              <a:solidFill>
                <a:schemeClr val="lt1"/>
              </a:solidFill>
              <a:effectLst/>
              <a:latin typeface="+mn-lt"/>
              <a:ea typeface="+mn-ea"/>
              <a:cs typeface="+mn-cs"/>
            </a:rPr>
            <a:t> </a:t>
          </a:r>
          <a:r>
            <a:rPr lang="es-ES_tradnl" sz="1400">
              <a:solidFill>
                <a:schemeClr val="lt1"/>
              </a:solidFill>
              <a:effectLst/>
              <a:latin typeface="+mn-lt"/>
              <a:ea typeface="+mn-ea"/>
              <a:cs typeface="+mn-cs"/>
            </a:rPr>
            <a:t>Realiza la tabla de frecuencias de esta variable y su representación gráfica. Comenta lo más destacado.</a:t>
          </a:r>
          <a:endParaRPr lang="es-ES" sz="1400">
            <a:solidFill>
              <a:schemeClr val="lt1"/>
            </a:solidFill>
            <a:effectLst/>
            <a:latin typeface="+mn-lt"/>
            <a:ea typeface="+mn-ea"/>
            <a:cs typeface="+mn-cs"/>
          </a:endParaRPr>
        </a:p>
        <a:p>
          <a:pPr lvl="0">
            <a:spcBef>
              <a:spcPts val="600"/>
            </a:spcBef>
          </a:pPr>
          <a:r>
            <a:rPr lang="es-ES_tradnl" sz="1400">
              <a:solidFill>
                <a:schemeClr val="lt1"/>
              </a:solidFill>
              <a:effectLst/>
              <a:latin typeface="+mn-lt"/>
              <a:ea typeface="+mn-ea"/>
              <a:cs typeface="+mn-cs"/>
            </a:rPr>
            <a:t>c) ¿Qué porcentaje de alumnos realiza deporte al menos 5 veces a la semana? ¿Y como mucho 2 veces a la semana?</a:t>
          </a:r>
          <a:endParaRPr lang="es-ES" sz="1400">
            <a:solidFill>
              <a:schemeClr val="lt1"/>
            </a:solidFill>
            <a:effectLst/>
            <a:latin typeface="+mn-lt"/>
            <a:ea typeface="+mn-ea"/>
            <a:cs typeface="+mn-cs"/>
          </a:endParaRPr>
        </a:p>
        <a:p>
          <a:pPr algn="l"/>
          <a:endParaRPr lang="es-E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29</xdr:row>
      <xdr:rowOff>28575</xdr:rowOff>
    </xdr:from>
    <xdr:to>
      <xdr:col>7</xdr:col>
      <xdr:colOff>600075</xdr:colOff>
      <xdr:row>44</xdr:row>
      <xdr:rowOff>176212</xdr:rowOff>
    </xdr:to>
    <xdr:graphicFrame macro="">
      <xdr:nvGraphicFramePr>
        <xdr:cNvPr id="2" name="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295276</xdr:colOff>
      <xdr:row>46</xdr:row>
      <xdr:rowOff>0</xdr:rowOff>
    </xdr:from>
    <xdr:ext cx="5276850" cy="3400426"/>
    <xdr:sp macro="" textlink="">
      <xdr:nvSpPr>
        <xdr:cNvPr id="3" name="2 CuadroTexto"/>
        <xdr:cNvSpPr txBox="1"/>
      </xdr:nvSpPr>
      <xdr:spPr>
        <a:xfrm>
          <a:off x="2162176" y="7029450"/>
          <a:ext cx="5276850" cy="3400426"/>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t>a) </a:t>
          </a:r>
          <a:r>
            <a:rPr lang="es-ES" sz="1100" baseline="0"/>
            <a:t>La variable analizada (</a:t>
          </a:r>
          <a:r>
            <a:rPr lang="es-ES" sz="1100" i="1" baseline="0"/>
            <a:t>Número de horas semanales dedicadas a redes sociales</a:t>
          </a:r>
          <a:r>
            <a:rPr lang="es-ES" sz="1100" baseline="0"/>
            <a:t>) es una variable cuantitativa continua, medida en una escala de tipo razón.</a:t>
          </a:r>
        </a:p>
        <a:p>
          <a:endParaRPr lang="es-ES" sz="1100" baseline="0"/>
        </a:p>
        <a:p>
          <a:r>
            <a:rPr lang="es-ES" sz="1100" b="1" baseline="0"/>
            <a:t>b) </a:t>
          </a:r>
          <a:r>
            <a:rPr lang="es-ES" sz="1100" baseline="0"/>
            <a:t>Como se trata de una variable cuantitativa con muchos valores distintos, es mejor construir la tabla de frecuencias agrupando en intervalos tal y como se ha indicado en el enunciado. Además de calcular las frecuencias absolutas y relativas ordinarias y acumuladas se necesitará calcular las marcas de clase (ver tabla arriba).</a:t>
          </a:r>
        </a:p>
        <a:p>
          <a:endParaRPr lang="es-ES" sz="1100" baseline="0"/>
        </a:p>
        <a:p>
          <a:r>
            <a:rPr lang="es-ES" sz="1100" baseline="0"/>
            <a:t>Un gráfico apropiado es un histograma (también lo sería un polígono de frecuencias). Como todas las amplitudes son iguales podemos utilizar como alturas las frecuencias relativas. A la vista del gráfico destaca que la mayoría de los estudiantes dedica un número bajo de horas a la semana a actividad en redes sociales. Sin embargo, un número pequeño, pero no despreciable ,de estudiantes dedica un número muy alto de horas a la semana a dicha actividad. También se aprecia una asimetría hacia la derecha muy acusada y la presencia de valores extremos .</a:t>
          </a:r>
          <a:endParaRPr lang="es-ES" sz="1100"/>
        </a:p>
        <a:p>
          <a:r>
            <a:rPr lang="es-ES" sz="1100"/>
            <a:t> </a:t>
          </a:r>
        </a:p>
        <a:p>
          <a:pPr marL="0" marR="0" indent="0" algn="l" defTabSz="914400" eaLnBrk="1" fontAlgn="auto" latinLnBrk="0" hangingPunct="1">
            <a:lnSpc>
              <a:spcPct val="100000"/>
            </a:lnSpc>
            <a:spcBef>
              <a:spcPts val="0"/>
            </a:spcBef>
            <a:spcAft>
              <a:spcPts val="0"/>
            </a:spcAft>
            <a:buClrTx/>
            <a:buSzTx/>
            <a:buFontTx/>
            <a:buNone/>
            <a:tabLst/>
            <a:defRPr/>
          </a:pPr>
          <a:r>
            <a:rPr lang="es-ES" sz="1100"/>
            <a:t>c)</a:t>
          </a:r>
          <a:r>
            <a:rPr lang="es-ES" sz="1100" baseline="0"/>
            <a:t> El </a:t>
          </a:r>
          <a:r>
            <a:rPr lang="es-ES" sz="1100" b="1" baseline="0"/>
            <a:t>70.59%</a:t>
          </a:r>
          <a:r>
            <a:rPr lang="es-ES" sz="1100" baseline="0"/>
            <a:t> de los estudiantes dedica a </a:t>
          </a:r>
          <a:r>
            <a:rPr lang="es-ES" sz="1100" baseline="0">
              <a:solidFill>
                <a:schemeClr val="tx1"/>
              </a:solidFill>
              <a:effectLst/>
              <a:latin typeface="+mn-lt"/>
              <a:ea typeface="+mn-ea"/>
              <a:cs typeface="+mn-cs"/>
            </a:rPr>
            <a:t>las redes sociales </a:t>
          </a:r>
          <a:r>
            <a:rPr lang="es-ES" sz="1100" baseline="0"/>
            <a:t>como mucho 14 horas a </a:t>
          </a:r>
          <a:r>
            <a:rPr lang="es-ES" sz="1100" baseline="0">
              <a:solidFill>
                <a:schemeClr val="tx1"/>
              </a:solidFill>
              <a:effectLst/>
              <a:latin typeface="+mn-lt"/>
              <a:ea typeface="+mn-ea"/>
              <a:cs typeface="+mn-cs"/>
            </a:rPr>
            <a:t>la semana . Y el 100-80,15=</a:t>
          </a:r>
          <a:r>
            <a:rPr lang="es-ES" sz="1100" b="1" baseline="0">
              <a:solidFill>
                <a:schemeClr val="tx1"/>
              </a:solidFill>
              <a:effectLst/>
              <a:latin typeface="+mn-lt"/>
              <a:ea typeface="+mn-ea"/>
              <a:cs typeface="+mn-cs"/>
            </a:rPr>
            <a:t>19,85%</a:t>
          </a:r>
          <a:r>
            <a:rPr lang="es-ES" sz="1100" baseline="0">
              <a:solidFill>
                <a:schemeClr val="tx1"/>
              </a:solidFill>
              <a:effectLst/>
              <a:latin typeface="+mn-lt"/>
              <a:ea typeface="+mn-ea"/>
              <a:cs typeface="+mn-cs"/>
            </a:rPr>
            <a:t> dedica más de 21 horas a la semana.</a:t>
          </a:r>
          <a:endParaRPr lang="es-ES" sz="1100" baseline="0"/>
        </a:p>
      </xdr:txBody>
    </xdr:sp>
    <xdr:clientData/>
  </xdr:oneCellAnchor>
  <xdr:twoCellAnchor>
    <xdr:from>
      <xdr:col>1</xdr:col>
      <xdr:colOff>228600</xdr:colOff>
      <xdr:row>0</xdr:row>
      <xdr:rowOff>180975</xdr:rowOff>
    </xdr:from>
    <xdr:to>
      <xdr:col>7</xdr:col>
      <xdr:colOff>885826</xdr:colOff>
      <xdr:row>9</xdr:row>
      <xdr:rowOff>180975</xdr:rowOff>
    </xdr:to>
    <xdr:sp macro="" textlink="">
      <xdr:nvSpPr>
        <xdr:cNvPr id="4" name="Rectángulo 3"/>
        <xdr:cNvSpPr/>
      </xdr:nvSpPr>
      <xdr:spPr>
        <a:xfrm>
          <a:off x="2095500" y="180975"/>
          <a:ext cx="6105526" cy="1714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spcBef>
              <a:spcPts val="600"/>
            </a:spcBef>
          </a:pPr>
          <a:r>
            <a:rPr lang="es-ES_tradnl" sz="1400">
              <a:solidFill>
                <a:schemeClr val="lt1"/>
              </a:solidFill>
              <a:effectLst/>
              <a:latin typeface="+mn-lt"/>
              <a:ea typeface="+mn-ea"/>
              <a:cs typeface="+mn-cs"/>
            </a:rPr>
            <a:t>3. Estudio de la variable </a:t>
          </a:r>
          <a:r>
            <a:rPr lang="es-ES_tradnl" sz="1400" i="1">
              <a:solidFill>
                <a:schemeClr val="lt1"/>
              </a:solidFill>
              <a:effectLst/>
              <a:latin typeface="+mn-lt"/>
              <a:ea typeface="+mn-ea"/>
              <a:cs typeface="+mn-cs"/>
            </a:rPr>
            <a:t>Horasred</a:t>
          </a:r>
          <a:r>
            <a:rPr lang="es-ES_tradnl" sz="1400">
              <a:solidFill>
                <a:schemeClr val="lt1"/>
              </a:solidFill>
              <a:effectLst/>
              <a:latin typeface="+mn-lt"/>
              <a:ea typeface="+mn-ea"/>
              <a:cs typeface="+mn-cs"/>
            </a:rPr>
            <a:t>. </a:t>
          </a:r>
          <a:endParaRPr lang="es-ES" sz="1400">
            <a:solidFill>
              <a:schemeClr val="lt1"/>
            </a:solidFill>
            <a:effectLst/>
            <a:latin typeface="+mn-lt"/>
            <a:ea typeface="+mn-ea"/>
            <a:cs typeface="+mn-cs"/>
          </a:endParaRPr>
        </a:p>
        <a:p>
          <a:pPr lvl="0">
            <a:spcBef>
              <a:spcPts val="600"/>
            </a:spcBef>
          </a:pPr>
          <a:r>
            <a:rPr lang="es-ES_tradnl" sz="1400">
              <a:solidFill>
                <a:schemeClr val="lt1"/>
              </a:solidFill>
              <a:effectLst/>
              <a:latin typeface="+mn-lt"/>
              <a:ea typeface="+mn-ea"/>
              <a:cs typeface="+mn-cs"/>
            </a:rPr>
            <a:t>a) Describe el tipo y escala de medida de dicha variable. </a:t>
          </a:r>
          <a:endParaRPr lang="es-ES" sz="1400">
            <a:solidFill>
              <a:schemeClr val="lt1"/>
            </a:solidFill>
            <a:effectLst/>
            <a:latin typeface="+mn-lt"/>
            <a:ea typeface="+mn-ea"/>
            <a:cs typeface="+mn-cs"/>
          </a:endParaRPr>
        </a:p>
        <a:p>
          <a:pPr lvl="0">
            <a:spcBef>
              <a:spcPts val="600"/>
            </a:spcBef>
          </a:pPr>
          <a:r>
            <a:rPr lang="es-ES_tradnl" sz="1400">
              <a:solidFill>
                <a:schemeClr val="lt1"/>
              </a:solidFill>
              <a:effectLst/>
              <a:latin typeface="+mn-lt"/>
              <a:ea typeface="+mn-ea"/>
              <a:cs typeface="+mn-cs"/>
            </a:rPr>
            <a:t>b) Realiza la tabla de frecuencias de esta variable y su representación gráfica. Para ello agrupa los valores en 10 intervalos de amplitud 7 comenzando en 0.</a:t>
          </a:r>
          <a:endParaRPr lang="es-ES" sz="1400">
            <a:solidFill>
              <a:schemeClr val="lt1"/>
            </a:solidFill>
            <a:effectLst/>
            <a:latin typeface="+mn-lt"/>
            <a:ea typeface="+mn-ea"/>
            <a:cs typeface="+mn-cs"/>
          </a:endParaRPr>
        </a:p>
        <a:p>
          <a:pPr lvl="0">
            <a:spcBef>
              <a:spcPts val="600"/>
            </a:spcBef>
          </a:pPr>
          <a:r>
            <a:rPr lang="es-ES_tradnl" sz="1400">
              <a:solidFill>
                <a:schemeClr val="lt1"/>
              </a:solidFill>
              <a:effectLst/>
              <a:latin typeface="+mn-lt"/>
              <a:ea typeface="+mn-ea"/>
              <a:cs typeface="+mn-cs"/>
            </a:rPr>
            <a:t>c)</a:t>
          </a:r>
          <a:r>
            <a:rPr lang="es-ES_tradnl" sz="1400" baseline="0">
              <a:solidFill>
                <a:schemeClr val="lt1"/>
              </a:solidFill>
              <a:effectLst/>
              <a:latin typeface="+mn-lt"/>
              <a:ea typeface="+mn-ea"/>
              <a:cs typeface="+mn-cs"/>
            </a:rPr>
            <a:t> </a:t>
          </a:r>
          <a:r>
            <a:rPr lang="es-ES_tradnl" sz="1400">
              <a:solidFill>
                <a:schemeClr val="lt1"/>
              </a:solidFill>
              <a:effectLst/>
              <a:latin typeface="+mn-lt"/>
              <a:ea typeface="+mn-ea"/>
              <a:cs typeface="+mn-cs"/>
            </a:rPr>
            <a:t>¿Qué porcentaje de estudiantes le dedica semanalmente como mucho 14 horas a las redes sociales? ¿Y al menos 21?</a:t>
          </a:r>
          <a:endParaRPr lang="es-ES" sz="1400">
            <a:solidFill>
              <a:schemeClr val="lt1"/>
            </a:solidFill>
            <a:effectLst/>
            <a:latin typeface="+mn-lt"/>
            <a:ea typeface="+mn-ea"/>
            <a:cs typeface="+mn-cs"/>
          </a:endParaRPr>
        </a:p>
        <a:p>
          <a:pPr algn="l"/>
          <a:endParaRPr lang="es-E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workbookViewId="0">
      <selection activeCell="B24" sqref="B24"/>
    </sheetView>
  </sheetViews>
  <sheetFormatPr baseColWidth="10" defaultRowHeight="15" x14ac:dyDescent="0.25"/>
  <cols>
    <col min="1" max="1" width="24.7109375" customWidth="1"/>
    <col min="2" max="2" width="127.28515625" customWidth="1"/>
  </cols>
  <sheetData>
    <row r="3" spans="1:2" ht="18" x14ac:dyDescent="0.25">
      <c r="A3" s="19" t="s">
        <v>33</v>
      </c>
      <c r="B3" s="20" t="s">
        <v>34</v>
      </c>
    </row>
    <row r="4" spans="1:2" ht="18" x14ac:dyDescent="0.25">
      <c r="A4" s="19" t="s">
        <v>0</v>
      </c>
      <c r="B4" s="20" t="s">
        <v>47</v>
      </c>
    </row>
    <row r="5" spans="1:2" ht="18" x14ac:dyDescent="0.25">
      <c r="A5" s="19" t="s">
        <v>16</v>
      </c>
      <c r="B5" s="20" t="s">
        <v>35</v>
      </c>
    </row>
    <row r="6" spans="1:2" ht="18" x14ac:dyDescent="0.25">
      <c r="A6" s="19" t="s">
        <v>17</v>
      </c>
      <c r="B6" s="20" t="s">
        <v>36</v>
      </c>
    </row>
    <row r="7" spans="1:2" ht="30" x14ac:dyDescent="0.25">
      <c r="A7" s="19" t="s">
        <v>18</v>
      </c>
      <c r="B7" s="20" t="s">
        <v>105</v>
      </c>
    </row>
    <row r="8" spans="1:2" ht="18" x14ac:dyDescent="0.25">
      <c r="A8" s="19" t="s">
        <v>19</v>
      </c>
      <c r="B8" s="20" t="s">
        <v>37</v>
      </c>
    </row>
    <row r="9" spans="1:2" ht="30" x14ac:dyDescent="0.25">
      <c r="A9" s="19" t="s">
        <v>20</v>
      </c>
      <c r="B9" s="20" t="s">
        <v>55</v>
      </c>
    </row>
    <row r="10" spans="1:2" ht="30" x14ac:dyDescent="0.25">
      <c r="A10" s="19" t="s">
        <v>21</v>
      </c>
      <c r="B10" s="20" t="s">
        <v>43</v>
      </c>
    </row>
    <row r="11" spans="1:2" ht="18" x14ac:dyDescent="0.25">
      <c r="A11" s="19" t="s">
        <v>38</v>
      </c>
      <c r="B11" s="20" t="s">
        <v>39</v>
      </c>
    </row>
    <row r="12" spans="1:2" ht="18" x14ac:dyDescent="0.25">
      <c r="A12" s="19" t="s">
        <v>40</v>
      </c>
      <c r="B12" s="20" t="s">
        <v>41</v>
      </c>
    </row>
    <row r="13" spans="1:2" ht="18" x14ac:dyDescent="0.25">
      <c r="A13" s="19" t="s">
        <v>24</v>
      </c>
      <c r="B13" s="20" t="s">
        <v>44</v>
      </c>
    </row>
    <row r="14" spans="1:2" ht="18" x14ac:dyDescent="0.25">
      <c r="A14" s="19" t="s">
        <v>25</v>
      </c>
      <c r="B14" s="20" t="s">
        <v>45</v>
      </c>
    </row>
    <row r="15" spans="1:2" ht="18" x14ac:dyDescent="0.25">
      <c r="A15" s="19" t="s">
        <v>26</v>
      </c>
      <c r="B15" s="20" t="s">
        <v>46</v>
      </c>
    </row>
    <row r="16" spans="1:2" ht="18" x14ac:dyDescent="0.25">
      <c r="A16" s="19" t="s">
        <v>27</v>
      </c>
      <c r="B16" s="20" t="s">
        <v>42</v>
      </c>
    </row>
    <row r="18" spans="1:2" ht="18.75" x14ac:dyDescent="0.3">
      <c r="A18" s="100" t="s">
        <v>119</v>
      </c>
      <c r="B18" s="101"/>
    </row>
    <row r="19" spans="1:2" ht="18" x14ac:dyDescent="0.25">
      <c r="A19" s="102" t="s">
        <v>57</v>
      </c>
      <c r="B19" s="103" t="s">
        <v>120</v>
      </c>
    </row>
    <row r="20" spans="1:2" ht="18" x14ac:dyDescent="0.25">
      <c r="A20" s="102" t="s">
        <v>58</v>
      </c>
      <c r="B20" s="103" t="s">
        <v>121</v>
      </c>
    </row>
    <row r="21" spans="1:2" ht="18" x14ac:dyDescent="0.25">
      <c r="A21" s="102" t="s">
        <v>56</v>
      </c>
      <c r="B21" s="103" t="s">
        <v>122</v>
      </c>
    </row>
    <row r="22" spans="1:2" ht="18" x14ac:dyDescent="0.25">
      <c r="A22" s="102" t="s">
        <v>59</v>
      </c>
      <c r="B22" s="103" t="s">
        <v>123</v>
      </c>
    </row>
    <row r="23" spans="1:2" ht="18" x14ac:dyDescent="0.25">
      <c r="A23" s="102" t="s">
        <v>60</v>
      </c>
      <c r="B23" s="103" t="s">
        <v>124</v>
      </c>
    </row>
    <row r="24" spans="1:2" ht="18" x14ac:dyDescent="0.25">
      <c r="A24" s="102" t="s">
        <v>61</v>
      </c>
      <c r="B24" s="103" t="s">
        <v>124</v>
      </c>
    </row>
    <row r="25" spans="1:2" ht="18" x14ac:dyDescent="0.25">
      <c r="A25" s="102" t="s">
        <v>62</v>
      </c>
      <c r="B25" s="103"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6"/>
  <sheetViews>
    <sheetView topLeftCell="F1" workbookViewId="0">
      <selection activeCell="F1" sqref="F1"/>
    </sheetView>
  </sheetViews>
  <sheetFormatPr baseColWidth="10" defaultColWidth="9.140625" defaultRowHeight="15" x14ac:dyDescent="0.25"/>
  <cols>
    <col min="1" max="1" width="12.85546875" customWidth="1"/>
    <col min="2" max="2" width="17.28515625" customWidth="1"/>
    <col min="3" max="3" width="15.5703125" customWidth="1"/>
    <col min="5" max="5" width="43.140625" bestFit="1" customWidth="1"/>
    <col min="6" max="6" width="12.28515625" customWidth="1"/>
    <col min="7" max="7" width="39.42578125" bestFit="1" customWidth="1"/>
    <col min="8" max="8" width="17.140625" bestFit="1" customWidth="1"/>
    <col min="9" max="9" width="13.5703125" customWidth="1"/>
    <col min="10" max="10" width="14.28515625" customWidth="1"/>
    <col min="11" max="11" width="10.7109375" bestFit="1" customWidth="1"/>
    <col min="12" max="12" width="8.42578125" customWidth="1"/>
    <col min="13" max="13" width="10.85546875" bestFit="1" customWidth="1"/>
  </cols>
  <sheetData>
    <row r="1" spans="1:14" x14ac:dyDescent="0.25">
      <c r="A1" s="58" t="s">
        <v>31</v>
      </c>
      <c r="B1" s="57" t="s">
        <v>0</v>
      </c>
      <c r="C1" s="57" t="s">
        <v>16</v>
      </c>
      <c r="D1" s="57" t="s">
        <v>17</v>
      </c>
      <c r="E1" s="57" t="s">
        <v>18</v>
      </c>
      <c r="F1" s="57" t="s">
        <v>19</v>
      </c>
      <c r="G1" s="57" t="s">
        <v>20</v>
      </c>
      <c r="H1" s="57" t="s">
        <v>21</v>
      </c>
      <c r="I1" s="57" t="s">
        <v>22</v>
      </c>
      <c r="J1" s="57" t="s">
        <v>23</v>
      </c>
      <c r="K1" s="57" t="s">
        <v>24</v>
      </c>
      <c r="L1" s="57" t="s">
        <v>25</v>
      </c>
      <c r="M1" s="57" t="s">
        <v>26</v>
      </c>
      <c r="N1" s="57" t="s">
        <v>27</v>
      </c>
    </row>
    <row r="2" spans="1:14" x14ac:dyDescent="0.25">
      <c r="A2" s="1">
        <v>1</v>
      </c>
      <c r="B2" s="2" t="s">
        <v>2</v>
      </c>
      <c r="C2" s="3">
        <v>0</v>
      </c>
      <c r="D2" s="3">
        <v>0</v>
      </c>
      <c r="E2" s="2" t="s">
        <v>4</v>
      </c>
      <c r="F2" s="3">
        <v>0</v>
      </c>
      <c r="G2" s="2" t="s">
        <v>11</v>
      </c>
      <c r="H2" s="2" t="s">
        <v>12</v>
      </c>
      <c r="I2" s="3">
        <v>0</v>
      </c>
      <c r="J2" s="3">
        <v>0</v>
      </c>
      <c r="K2" s="2" t="s">
        <v>14</v>
      </c>
      <c r="L2" s="2" t="s">
        <v>14</v>
      </c>
      <c r="M2" s="2" t="s">
        <v>14</v>
      </c>
      <c r="N2" s="3">
        <v>0</v>
      </c>
    </row>
    <row r="3" spans="1:14" x14ac:dyDescent="0.25">
      <c r="A3" s="1">
        <v>2</v>
      </c>
      <c r="B3" s="2" t="s">
        <v>2</v>
      </c>
      <c r="C3" s="3">
        <v>0</v>
      </c>
      <c r="D3" s="3">
        <v>0</v>
      </c>
      <c r="E3" s="2" t="s">
        <v>6</v>
      </c>
      <c r="F3" s="3">
        <v>0</v>
      </c>
      <c r="G3" s="2" t="s">
        <v>8</v>
      </c>
      <c r="H3" s="2" t="s">
        <v>13</v>
      </c>
      <c r="I3" s="3">
        <v>0</v>
      </c>
      <c r="J3" s="3">
        <v>0</v>
      </c>
      <c r="K3" s="2" t="s">
        <v>14</v>
      </c>
      <c r="L3" s="2" t="s">
        <v>14</v>
      </c>
      <c r="M3" s="2" t="s">
        <v>14</v>
      </c>
      <c r="N3" s="3">
        <v>0</v>
      </c>
    </row>
    <row r="4" spans="1:14" x14ac:dyDescent="0.25">
      <c r="A4" s="1">
        <v>3</v>
      </c>
      <c r="B4" s="2" t="s">
        <v>2</v>
      </c>
      <c r="C4" s="3">
        <v>0</v>
      </c>
      <c r="D4" s="3">
        <v>0</v>
      </c>
      <c r="E4" s="2" t="s">
        <v>6</v>
      </c>
      <c r="F4" s="3">
        <v>0</v>
      </c>
      <c r="G4" s="2" t="s">
        <v>10</v>
      </c>
      <c r="H4" s="2" t="s">
        <v>12</v>
      </c>
      <c r="I4" s="3">
        <v>0</v>
      </c>
      <c r="J4" s="3">
        <v>0</v>
      </c>
      <c r="K4" s="2" t="s">
        <v>14</v>
      </c>
      <c r="L4" s="2" t="s">
        <v>15</v>
      </c>
      <c r="M4" s="2" t="s">
        <v>14</v>
      </c>
      <c r="N4" s="3">
        <v>0</v>
      </c>
    </row>
    <row r="5" spans="1:14" x14ac:dyDescent="0.25">
      <c r="A5" s="1">
        <v>4</v>
      </c>
      <c r="B5" s="2" t="s">
        <v>1</v>
      </c>
      <c r="C5" s="4">
        <v>162</v>
      </c>
      <c r="D5" s="4">
        <v>52.5</v>
      </c>
      <c r="E5" s="2" t="s">
        <v>5</v>
      </c>
      <c r="F5" s="4">
        <v>4</v>
      </c>
      <c r="G5" s="2" t="s">
        <v>8</v>
      </c>
      <c r="H5" s="2" t="s">
        <v>12</v>
      </c>
      <c r="I5" s="4">
        <v>9</v>
      </c>
      <c r="J5" s="4">
        <v>11</v>
      </c>
      <c r="K5" s="2" t="s">
        <v>14</v>
      </c>
      <c r="L5" s="2" t="s">
        <v>14</v>
      </c>
      <c r="M5" s="2" t="s">
        <v>15</v>
      </c>
      <c r="N5" s="4">
        <v>0</v>
      </c>
    </row>
    <row r="6" spans="1:14" x14ac:dyDescent="0.25">
      <c r="A6" s="1">
        <v>5</v>
      </c>
      <c r="B6" s="2" t="s">
        <v>2</v>
      </c>
      <c r="C6" s="4">
        <v>182</v>
      </c>
      <c r="D6" s="4">
        <v>76</v>
      </c>
      <c r="E6" s="2" t="s">
        <v>6</v>
      </c>
      <c r="F6" s="4">
        <v>2</v>
      </c>
      <c r="G6" s="2" t="s">
        <v>10</v>
      </c>
      <c r="H6" s="2" t="s">
        <v>12</v>
      </c>
      <c r="I6" s="4">
        <v>7</v>
      </c>
      <c r="J6" s="4">
        <v>7</v>
      </c>
      <c r="K6" s="2" t="s">
        <v>14</v>
      </c>
      <c r="L6" s="2" t="s">
        <v>14</v>
      </c>
      <c r="M6" s="2" t="s">
        <v>14</v>
      </c>
      <c r="N6" s="4">
        <v>10</v>
      </c>
    </row>
    <row r="7" spans="1:14" x14ac:dyDescent="0.25">
      <c r="A7" s="1">
        <v>6</v>
      </c>
      <c r="B7" s="2" t="s">
        <v>2</v>
      </c>
      <c r="C7" s="4">
        <v>185</v>
      </c>
      <c r="D7" s="4">
        <v>84</v>
      </c>
      <c r="E7" s="2" t="s">
        <v>7</v>
      </c>
      <c r="F7" s="4">
        <v>2</v>
      </c>
      <c r="G7" s="2" t="s">
        <v>8</v>
      </c>
      <c r="H7" s="2" t="s">
        <v>12</v>
      </c>
      <c r="I7" s="4">
        <v>6</v>
      </c>
      <c r="J7" s="5">
        <v>0</v>
      </c>
      <c r="K7" s="2" t="s">
        <v>14</v>
      </c>
      <c r="L7" s="2" t="s">
        <v>14</v>
      </c>
      <c r="M7" s="2" t="s">
        <v>14</v>
      </c>
      <c r="N7" s="4">
        <v>2</v>
      </c>
    </row>
    <row r="8" spans="1:14" x14ac:dyDescent="0.25">
      <c r="A8" s="1">
        <v>7</v>
      </c>
      <c r="B8" s="2" t="s">
        <v>2</v>
      </c>
      <c r="C8" s="4">
        <v>170</v>
      </c>
      <c r="D8" s="4">
        <v>60</v>
      </c>
      <c r="E8" s="2" t="s">
        <v>4</v>
      </c>
      <c r="F8" s="4">
        <v>3</v>
      </c>
      <c r="G8" s="2" t="s">
        <v>8</v>
      </c>
      <c r="H8" s="2" t="s">
        <v>12</v>
      </c>
      <c r="I8" s="4">
        <v>8</v>
      </c>
      <c r="J8" s="4">
        <v>8</v>
      </c>
      <c r="K8" s="2" t="s">
        <v>14</v>
      </c>
      <c r="L8" s="2" t="s">
        <v>14</v>
      </c>
      <c r="M8" s="2" t="s">
        <v>14</v>
      </c>
      <c r="N8" s="4">
        <v>30</v>
      </c>
    </row>
    <row r="9" spans="1:14" x14ac:dyDescent="0.25">
      <c r="A9" s="1">
        <v>8</v>
      </c>
      <c r="B9" s="2" t="s">
        <v>1</v>
      </c>
      <c r="C9" s="4">
        <v>172</v>
      </c>
      <c r="D9" s="4">
        <v>72</v>
      </c>
      <c r="E9" s="2" t="s">
        <v>5</v>
      </c>
      <c r="F9" s="4">
        <v>2</v>
      </c>
      <c r="G9" s="2" t="s">
        <v>9</v>
      </c>
      <c r="H9" s="2" t="s">
        <v>12</v>
      </c>
      <c r="I9" s="4">
        <v>6.9</v>
      </c>
      <c r="J9" s="4">
        <v>8.9</v>
      </c>
      <c r="K9" s="2" t="s">
        <v>14</v>
      </c>
      <c r="L9" s="2" t="s">
        <v>14</v>
      </c>
      <c r="M9" s="2" t="s">
        <v>14</v>
      </c>
      <c r="N9" s="4">
        <v>3</v>
      </c>
    </row>
    <row r="10" spans="1:14" x14ac:dyDescent="0.25">
      <c r="A10" s="1">
        <v>9</v>
      </c>
      <c r="B10" s="2" t="s">
        <v>1</v>
      </c>
      <c r="C10" s="4">
        <v>159</v>
      </c>
      <c r="D10" s="4">
        <v>51</v>
      </c>
      <c r="E10" s="2" t="s">
        <v>4</v>
      </c>
      <c r="F10" s="4">
        <v>2</v>
      </c>
      <c r="G10" s="2" t="s">
        <v>8</v>
      </c>
      <c r="H10" s="2" t="s">
        <v>12</v>
      </c>
      <c r="I10" s="4">
        <v>7.3</v>
      </c>
      <c r="J10" s="4">
        <v>7.5</v>
      </c>
      <c r="K10" s="6"/>
      <c r="L10" s="6"/>
      <c r="M10" s="6"/>
      <c r="N10" s="5">
        <v>0</v>
      </c>
    </row>
    <row r="11" spans="1:14" x14ac:dyDescent="0.25">
      <c r="A11" s="1">
        <v>10</v>
      </c>
      <c r="B11" s="2" t="s">
        <v>2</v>
      </c>
      <c r="C11" s="4">
        <v>182</v>
      </c>
      <c r="D11" s="4">
        <v>76</v>
      </c>
      <c r="E11" s="2" t="s">
        <v>6</v>
      </c>
      <c r="F11" s="4">
        <v>2</v>
      </c>
      <c r="G11" s="2" t="s">
        <v>9</v>
      </c>
      <c r="H11" s="2" t="s">
        <v>12</v>
      </c>
      <c r="I11" s="4">
        <v>5.58</v>
      </c>
      <c r="J11" s="4">
        <v>5.2</v>
      </c>
      <c r="K11" s="2" t="s">
        <v>14</v>
      </c>
      <c r="L11" s="2" t="s">
        <v>14</v>
      </c>
      <c r="M11" s="2" t="s">
        <v>14</v>
      </c>
      <c r="N11" s="4">
        <v>8</v>
      </c>
    </row>
    <row r="12" spans="1:14" x14ac:dyDescent="0.25">
      <c r="A12" s="1">
        <v>11</v>
      </c>
      <c r="B12" s="2" t="s">
        <v>1</v>
      </c>
      <c r="C12" s="7">
        <v>1.6</v>
      </c>
      <c r="D12" s="4">
        <v>50</v>
      </c>
      <c r="E12" s="2" t="s">
        <v>4</v>
      </c>
      <c r="F12" s="4">
        <v>2</v>
      </c>
      <c r="G12" s="2" t="s">
        <v>9</v>
      </c>
      <c r="H12" s="2" t="s">
        <v>12</v>
      </c>
      <c r="I12" s="4">
        <v>6</v>
      </c>
      <c r="J12" s="4">
        <v>7.6</v>
      </c>
      <c r="K12" s="2" t="s">
        <v>14</v>
      </c>
      <c r="L12" s="2" t="s">
        <v>14</v>
      </c>
      <c r="M12" s="2" t="s">
        <v>15</v>
      </c>
      <c r="N12" s="4">
        <v>0</v>
      </c>
    </row>
    <row r="13" spans="1:14" x14ac:dyDescent="0.25">
      <c r="A13" s="1">
        <v>12</v>
      </c>
      <c r="B13" s="2" t="s">
        <v>2</v>
      </c>
      <c r="C13" s="4">
        <v>182</v>
      </c>
      <c r="D13" s="4">
        <v>65</v>
      </c>
      <c r="E13" s="2" t="s">
        <v>6</v>
      </c>
      <c r="F13" s="4">
        <v>3</v>
      </c>
      <c r="G13" s="2" t="s">
        <v>8</v>
      </c>
      <c r="H13" s="2" t="s">
        <v>12</v>
      </c>
      <c r="I13" s="4">
        <v>7.5</v>
      </c>
      <c r="J13" s="4">
        <v>9.3030000000000008</v>
      </c>
      <c r="K13" s="2" t="s">
        <v>14</v>
      </c>
      <c r="L13" s="2" t="s">
        <v>14</v>
      </c>
      <c r="M13" s="2" t="s">
        <v>14</v>
      </c>
      <c r="N13" s="4">
        <v>10</v>
      </c>
    </row>
    <row r="14" spans="1:14" x14ac:dyDescent="0.25">
      <c r="A14" s="1">
        <v>13</v>
      </c>
      <c r="B14" s="2" t="s">
        <v>2</v>
      </c>
      <c r="C14" s="4">
        <v>180</v>
      </c>
      <c r="D14" s="4">
        <v>71</v>
      </c>
      <c r="E14" s="2" t="s">
        <v>6</v>
      </c>
      <c r="F14" s="4">
        <v>1</v>
      </c>
      <c r="G14" s="2" t="s">
        <v>8</v>
      </c>
      <c r="H14" s="2" t="s">
        <v>13</v>
      </c>
      <c r="I14" s="4">
        <v>5.5</v>
      </c>
      <c r="J14" s="4">
        <v>5.9</v>
      </c>
      <c r="K14" s="2" t="s">
        <v>14</v>
      </c>
      <c r="L14" s="2" t="s">
        <v>14</v>
      </c>
      <c r="M14" s="2" t="s">
        <v>14</v>
      </c>
      <c r="N14" s="4">
        <v>20</v>
      </c>
    </row>
    <row r="15" spans="1:14" x14ac:dyDescent="0.25">
      <c r="A15" s="1">
        <v>14</v>
      </c>
      <c r="B15" s="2" t="s">
        <v>2</v>
      </c>
      <c r="C15" s="4">
        <v>178</v>
      </c>
      <c r="D15" s="4">
        <v>76</v>
      </c>
      <c r="E15" s="2" t="s">
        <v>7</v>
      </c>
      <c r="F15" s="4">
        <v>2</v>
      </c>
      <c r="G15" s="2" t="s">
        <v>8</v>
      </c>
      <c r="H15" s="2" t="s">
        <v>13</v>
      </c>
      <c r="I15" s="4">
        <v>5.6</v>
      </c>
      <c r="J15" s="4">
        <v>6.8</v>
      </c>
      <c r="K15" s="2" t="s">
        <v>14</v>
      </c>
      <c r="L15" s="2" t="s">
        <v>14</v>
      </c>
      <c r="M15" s="2" t="s">
        <v>14</v>
      </c>
      <c r="N15" s="4">
        <v>7</v>
      </c>
    </row>
    <row r="16" spans="1:14" x14ac:dyDescent="0.25">
      <c r="A16" s="1">
        <v>15</v>
      </c>
      <c r="B16" s="2" t="s">
        <v>1</v>
      </c>
      <c r="C16" s="4">
        <v>163</v>
      </c>
      <c r="D16" s="4">
        <v>50</v>
      </c>
      <c r="E16" s="2" t="s">
        <v>3</v>
      </c>
      <c r="F16" s="4">
        <v>2</v>
      </c>
      <c r="G16" s="2" t="s">
        <v>8</v>
      </c>
      <c r="H16" s="2" t="s">
        <v>12</v>
      </c>
      <c r="I16" s="4">
        <v>6</v>
      </c>
      <c r="J16" s="4">
        <v>7</v>
      </c>
      <c r="K16" s="2" t="s">
        <v>14</v>
      </c>
      <c r="L16" s="2" t="s">
        <v>14</v>
      </c>
      <c r="M16" s="2" t="s">
        <v>14</v>
      </c>
      <c r="N16" s="4">
        <v>5</v>
      </c>
    </row>
    <row r="17" spans="1:14" x14ac:dyDescent="0.25">
      <c r="A17" s="1">
        <v>16</v>
      </c>
      <c r="B17" s="2" t="s">
        <v>2</v>
      </c>
      <c r="C17" s="4">
        <v>173</v>
      </c>
      <c r="D17" s="4">
        <v>69</v>
      </c>
      <c r="E17" s="2" t="s">
        <v>3</v>
      </c>
      <c r="F17" s="4">
        <v>2</v>
      </c>
      <c r="G17" s="2" t="s">
        <v>8</v>
      </c>
      <c r="H17" s="2" t="s">
        <v>13</v>
      </c>
      <c r="I17" s="4">
        <v>7.5</v>
      </c>
      <c r="J17" s="4">
        <v>7.4</v>
      </c>
      <c r="K17" s="2" t="s">
        <v>14</v>
      </c>
      <c r="L17" s="2" t="s">
        <v>14</v>
      </c>
      <c r="M17" s="2" t="s">
        <v>14</v>
      </c>
      <c r="N17" s="4">
        <v>35</v>
      </c>
    </row>
    <row r="18" spans="1:14" x14ac:dyDescent="0.25">
      <c r="A18" s="1">
        <v>17</v>
      </c>
      <c r="B18" s="2" t="s">
        <v>1</v>
      </c>
      <c r="C18" s="4">
        <v>160</v>
      </c>
      <c r="D18" s="4">
        <v>50</v>
      </c>
      <c r="E18" s="2" t="s">
        <v>4</v>
      </c>
      <c r="F18" s="4">
        <v>2</v>
      </c>
      <c r="G18" s="2" t="s">
        <v>8</v>
      </c>
      <c r="H18" s="2" t="s">
        <v>12</v>
      </c>
      <c r="I18" s="4">
        <v>6</v>
      </c>
      <c r="J18" s="4">
        <v>6</v>
      </c>
      <c r="K18" s="2" t="s">
        <v>15</v>
      </c>
      <c r="L18" s="2" t="s">
        <v>14</v>
      </c>
      <c r="M18" s="2" t="s">
        <v>14</v>
      </c>
      <c r="N18" s="4">
        <v>1</v>
      </c>
    </row>
    <row r="19" spans="1:14" x14ac:dyDescent="0.25">
      <c r="A19" s="1">
        <v>18</v>
      </c>
      <c r="B19" s="2" t="s">
        <v>2</v>
      </c>
      <c r="C19" s="4">
        <v>184</v>
      </c>
      <c r="D19" s="4">
        <v>68</v>
      </c>
      <c r="E19" s="2" t="s">
        <v>6</v>
      </c>
      <c r="F19" s="4">
        <v>2</v>
      </c>
      <c r="G19" s="2" t="s">
        <v>8</v>
      </c>
      <c r="H19" s="2" t="s">
        <v>12</v>
      </c>
      <c r="I19" s="4">
        <v>6.2</v>
      </c>
      <c r="J19" s="4">
        <v>8</v>
      </c>
      <c r="K19" s="2" t="s">
        <v>14</v>
      </c>
      <c r="L19" s="2" t="s">
        <v>14</v>
      </c>
      <c r="M19" s="2" t="s">
        <v>14</v>
      </c>
      <c r="N19" s="4">
        <v>4</v>
      </c>
    </row>
    <row r="20" spans="1:14" x14ac:dyDescent="0.25">
      <c r="A20" s="1">
        <v>19</v>
      </c>
      <c r="B20" s="2" t="s">
        <v>1</v>
      </c>
      <c r="C20" s="4">
        <v>162</v>
      </c>
      <c r="D20" s="4">
        <v>57</v>
      </c>
      <c r="E20" s="2" t="s">
        <v>4</v>
      </c>
      <c r="F20" s="4">
        <v>3</v>
      </c>
      <c r="G20" s="2" t="s">
        <v>8</v>
      </c>
      <c r="H20" s="2" t="s">
        <v>13</v>
      </c>
      <c r="I20" s="4">
        <v>6.8</v>
      </c>
      <c r="J20" s="4">
        <v>6.5</v>
      </c>
      <c r="K20" s="2" t="s">
        <v>14</v>
      </c>
      <c r="L20" s="2" t="s">
        <v>14</v>
      </c>
      <c r="M20" s="2" t="s">
        <v>14</v>
      </c>
      <c r="N20" s="4">
        <v>4</v>
      </c>
    </row>
    <row r="21" spans="1:14" x14ac:dyDescent="0.25">
      <c r="A21" s="1">
        <v>20</v>
      </c>
      <c r="B21" s="2" t="s">
        <v>1</v>
      </c>
      <c r="C21" s="4">
        <v>165</v>
      </c>
      <c r="D21" s="4">
        <v>56</v>
      </c>
      <c r="E21" s="2" t="s">
        <v>5</v>
      </c>
      <c r="F21" s="4">
        <v>3</v>
      </c>
      <c r="G21" s="2" t="s">
        <v>10</v>
      </c>
      <c r="H21" s="2" t="s">
        <v>12</v>
      </c>
      <c r="I21" s="4">
        <v>8.5</v>
      </c>
      <c r="J21" s="4">
        <v>10.5</v>
      </c>
      <c r="K21" s="2" t="s">
        <v>14</v>
      </c>
      <c r="L21" s="2" t="s">
        <v>14</v>
      </c>
      <c r="M21" s="2" t="s">
        <v>14</v>
      </c>
      <c r="N21" s="4">
        <v>14</v>
      </c>
    </row>
    <row r="22" spans="1:14" x14ac:dyDescent="0.25">
      <c r="A22" s="1">
        <v>21</v>
      </c>
      <c r="B22" s="2" t="s">
        <v>1</v>
      </c>
      <c r="C22" s="4">
        <v>165</v>
      </c>
      <c r="D22" s="4">
        <v>50</v>
      </c>
      <c r="E22" s="2" t="s">
        <v>4</v>
      </c>
      <c r="F22" s="4">
        <v>3</v>
      </c>
      <c r="G22" s="2" t="s">
        <v>10</v>
      </c>
      <c r="H22" s="2" t="s">
        <v>12</v>
      </c>
      <c r="I22" s="4">
        <v>9.5</v>
      </c>
      <c r="J22" s="4">
        <v>12.1</v>
      </c>
      <c r="K22" s="2" t="s">
        <v>14</v>
      </c>
      <c r="L22" s="2" t="s">
        <v>14</v>
      </c>
      <c r="M22" s="2" t="s">
        <v>14</v>
      </c>
      <c r="N22" s="4">
        <v>14</v>
      </c>
    </row>
    <row r="23" spans="1:14" x14ac:dyDescent="0.25">
      <c r="A23" s="1">
        <v>22</v>
      </c>
      <c r="B23" s="2" t="s">
        <v>2</v>
      </c>
      <c r="C23" s="4">
        <v>172</v>
      </c>
      <c r="D23" s="4">
        <v>60</v>
      </c>
      <c r="E23" s="2" t="s">
        <v>5</v>
      </c>
      <c r="F23" s="5">
        <v>0</v>
      </c>
      <c r="G23" s="2" t="s">
        <v>10</v>
      </c>
      <c r="H23" s="2" t="s">
        <v>13</v>
      </c>
      <c r="I23" s="4">
        <v>7</v>
      </c>
      <c r="J23" s="4">
        <v>7.8</v>
      </c>
      <c r="K23" s="2" t="s">
        <v>14</v>
      </c>
      <c r="L23" s="2" t="s">
        <v>14</v>
      </c>
      <c r="M23" s="2" t="s">
        <v>14</v>
      </c>
      <c r="N23" s="4">
        <v>20</v>
      </c>
    </row>
    <row r="24" spans="1:14" x14ac:dyDescent="0.25">
      <c r="A24" s="1">
        <v>23</v>
      </c>
      <c r="B24" s="2" t="s">
        <v>1</v>
      </c>
      <c r="C24" s="7">
        <v>1.73</v>
      </c>
      <c r="D24" s="4">
        <v>59</v>
      </c>
      <c r="E24" s="2" t="s">
        <v>6</v>
      </c>
      <c r="F24" s="4">
        <v>2</v>
      </c>
      <c r="G24" s="2" t="s">
        <v>8</v>
      </c>
      <c r="H24" s="2" t="s">
        <v>12</v>
      </c>
      <c r="I24" s="4">
        <v>9.1999999999999993</v>
      </c>
      <c r="J24" s="4">
        <v>10.5</v>
      </c>
      <c r="K24" s="2" t="s">
        <v>14</v>
      </c>
      <c r="L24" s="2" t="s">
        <v>14</v>
      </c>
      <c r="M24" s="2" t="s">
        <v>14</v>
      </c>
      <c r="N24" s="4">
        <v>6</v>
      </c>
    </row>
    <row r="25" spans="1:14" x14ac:dyDescent="0.25">
      <c r="A25" s="1">
        <v>24</v>
      </c>
      <c r="B25" s="2" t="s">
        <v>1</v>
      </c>
      <c r="C25" s="4">
        <v>167</v>
      </c>
      <c r="D25" s="4">
        <v>61</v>
      </c>
      <c r="E25" s="2" t="s">
        <v>5</v>
      </c>
      <c r="F25" s="4">
        <v>3</v>
      </c>
      <c r="G25" s="2" t="s">
        <v>8</v>
      </c>
      <c r="H25" s="2" t="s">
        <v>13</v>
      </c>
      <c r="I25" s="4">
        <v>6.6</v>
      </c>
      <c r="J25" s="4">
        <v>8.1999999999999993</v>
      </c>
      <c r="K25" s="2" t="s">
        <v>14</v>
      </c>
      <c r="L25" s="2" t="s">
        <v>14</v>
      </c>
      <c r="M25" s="2" t="s">
        <v>14</v>
      </c>
      <c r="N25" s="4">
        <v>14</v>
      </c>
    </row>
    <row r="26" spans="1:14" x14ac:dyDescent="0.25">
      <c r="A26" s="1">
        <v>25</v>
      </c>
      <c r="B26" s="2" t="s">
        <v>2</v>
      </c>
      <c r="C26" s="7">
        <v>1.74</v>
      </c>
      <c r="D26" s="4">
        <v>59.8</v>
      </c>
      <c r="E26" s="2" t="s">
        <v>5</v>
      </c>
      <c r="F26" s="4">
        <v>2</v>
      </c>
      <c r="G26" s="2" t="s">
        <v>8</v>
      </c>
      <c r="H26" s="1"/>
      <c r="I26" s="4">
        <v>7.56</v>
      </c>
      <c r="J26" s="4">
        <v>9.7200000000000006</v>
      </c>
      <c r="K26" s="2" t="s">
        <v>14</v>
      </c>
      <c r="L26" s="2" t="s">
        <v>14</v>
      </c>
      <c r="M26" s="2" t="s">
        <v>14</v>
      </c>
      <c r="N26" s="4">
        <v>2.6</v>
      </c>
    </row>
    <row r="27" spans="1:14" x14ac:dyDescent="0.25">
      <c r="A27" s="1">
        <v>26</v>
      </c>
      <c r="B27" s="2" t="s">
        <v>2</v>
      </c>
      <c r="C27" s="4">
        <v>173</v>
      </c>
      <c r="D27" s="4">
        <v>73</v>
      </c>
      <c r="E27" s="2" t="s">
        <v>6</v>
      </c>
      <c r="F27" s="5">
        <v>0</v>
      </c>
      <c r="G27" s="2" t="s">
        <v>8</v>
      </c>
      <c r="H27" s="2" t="s">
        <v>13</v>
      </c>
      <c r="I27" s="4">
        <v>6.5</v>
      </c>
      <c r="J27" s="4">
        <v>6.375</v>
      </c>
      <c r="K27" s="2" t="s">
        <v>14</v>
      </c>
      <c r="L27" s="2" t="s">
        <v>14</v>
      </c>
      <c r="M27" s="2" t="s">
        <v>14</v>
      </c>
      <c r="N27" s="4">
        <v>25</v>
      </c>
    </row>
    <row r="28" spans="1:14" x14ac:dyDescent="0.25">
      <c r="A28" s="1">
        <v>27</v>
      </c>
      <c r="B28" s="2" t="s">
        <v>2</v>
      </c>
      <c r="C28" s="4">
        <v>171</v>
      </c>
      <c r="D28" s="4">
        <v>66</v>
      </c>
      <c r="E28" s="2" t="s">
        <v>5</v>
      </c>
      <c r="F28" s="4">
        <v>2</v>
      </c>
      <c r="G28" s="2" t="s">
        <v>9</v>
      </c>
      <c r="H28" s="2" t="s">
        <v>12</v>
      </c>
      <c r="I28" s="4">
        <v>6.7</v>
      </c>
      <c r="J28" s="4">
        <v>8.73</v>
      </c>
      <c r="K28" s="2" t="s">
        <v>14</v>
      </c>
      <c r="L28" s="2" t="s">
        <v>14</v>
      </c>
      <c r="M28" s="2" t="s">
        <v>14</v>
      </c>
      <c r="N28" s="4">
        <v>15</v>
      </c>
    </row>
    <row r="29" spans="1:14" x14ac:dyDescent="0.25">
      <c r="A29" s="1">
        <v>28</v>
      </c>
      <c r="B29" s="2" t="s">
        <v>2</v>
      </c>
      <c r="C29" s="4">
        <v>177</v>
      </c>
      <c r="D29" s="4">
        <v>65</v>
      </c>
      <c r="E29" s="2" t="s">
        <v>5</v>
      </c>
      <c r="F29" s="4">
        <v>2</v>
      </c>
      <c r="G29" s="2" t="s">
        <v>8</v>
      </c>
      <c r="H29" s="2" t="s">
        <v>13</v>
      </c>
      <c r="I29" s="4">
        <v>6</v>
      </c>
      <c r="J29" s="4">
        <v>8</v>
      </c>
      <c r="K29" s="2" t="s">
        <v>14</v>
      </c>
      <c r="L29" s="2" t="s">
        <v>14</v>
      </c>
      <c r="M29" s="2" t="s">
        <v>14</v>
      </c>
      <c r="N29" s="4">
        <v>5</v>
      </c>
    </row>
    <row r="30" spans="1:14" x14ac:dyDescent="0.25">
      <c r="A30" s="1">
        <v>29</v>
      </c>
      <c r="B30" s="2" t="s">
        <v>1</v>
      </c>
      <c r="C30" s="4">
        <v>170</v>
      </c>
      <c r="D30" s="4">
        <v>59</v>
      </c>
      <c r="E30" s="2" t="s">
        <v>5</v>
      </c>
      <c r="F30" s="4">
        <v>2</v>
      </c>
      <c r="G30" s="2" t="s">
        <v>8</v>
      </c>
      <c r="H30" s="2" t="s">
        <v>13</v>
      </c>
      <c r="I30" s="4">
        <v>7</v>
      </c>
      <c r="J30" s="4">
        <v>8.2349999999999994</v>
      </c>
      <c r="K30" s="2" t="s">
        <v>15</v>
      </c>
      <c r="L30" s="2" t="s">
        <v>14</v>
      </c>
      <c r="M30" s="2" t="s">
        <v>14</v>
      </c>
      <c r="N30" s="4">
        <v>3</v>
      </c>
    </row>
    <row r="31" spans="1:14" x14ac:dyDescent="0.25">
      <c r="A31" s="1">
        <v>30</v>
      </c>
      <c r="B31" s="2" t="s">
        <v>1</v>
      </c>
      <c r="C31" s="4">
        <v>163.5</v>
      </c>
      <c r="D31" s="4">
        <v>42.5</v>
      </c>
      <c r="E31" s="2" t="s">
        <v>7</v>
      </c>
      <c r="F31" s="4">
        <v>1</v>
      </c>
      <c r="G31" s="2" t="s">
        <v>10</v>
      </c>
      <c r="H31" s="2" t="s">
        <v>12</v>
      </c>
      <c r="I31" s="4">
        <v>9.9</v>
      </c>
      <c r="J31" s="4">
        <v>12.5</v>
      </c>
      <c r="K31" s="2" t="s">
        <v>14</v>
      </c>
      <c r="L31" s="2" t="s">
        <v>14</v>
      </c>
      <c r="M31" s="2" t="s">
        <v>14</v>
      </c>
      <c r="N31" s="4">
        <v>8</v>
      </c>
    </row>
    <row r="32" spans="1:14" x14ac:dyDescent="0.25">
      <c r="A32" s="1">
        <v>31</v>
      </c>
      <c r="B32" s="2" t="s">
        <v>1</v>
      </c>
      <c r="C32" s="4">
        <v>150</v>
      </c>
      <c r="D32" s="4">
        <v>45</v>
      </c>
      <c r="E32" s="2" t="s">
        <v>4</v>
      </c>
      <c r="F32" s="4">
        <v>2</v>
      </c>
      <c r="G32" s="2" t="s">
        <v>8</v>
      </c>
      <c r="H32" s="2" t="s">
        <v>12</v>
      </c>
      <c r="I32" s="4">
        <v>6.5</v>
      </c>
      <c r="J32" s="4">
        <v>7.5</v>
      </c>
      <c r="K32" s="2" t="s">
        <v>14</v>
      </c>
      <c r="L32" s="2" t="s">
        <v>14</v>
      </c>
      <c r="M32" s="2" t="s">
        <v>14</v>
      </c>
      <c r="N32" s="4">
        <v>21</v>
      </c>
    </row>
    <row r="33" spans="1:14" x14ac:dyDescent="0.25">
      <c r="A33" s="1">
        <v>32</v>
      </c>
      <c r="B33" s="2" t="s">
        <v>2</v>
      </c>
      <c r="C33" s="4">
        <v>175</v>
      </c>
      <c r="D33" s="4">
        <v>65</v>
      </c>
      <c r="E33" s="2" t="s">
        <v>6</v>
      </c>
      <c r="F33" s="4">
        <v>2</v>
      </c>
      <c r="G33" s="2" t="s">
        <v>8</v>
      </c>
      <c r="H33" s="2" t="s">
        <v>12</v>
      </c>
      <c r="I33" s="4">
        <v>7</v>
      </c>
      <c r="J33" s="4">
        <v>9</v>
      </c>
      <c r="K33" s="2" t="s">
        <v>14</v>
      </c>
      <c r="L33" s="2" t="s">
        <v>14</v>
      </c>
      <c r="M33" s="2" t="s">
        <v>14</v>
      </c>
      <c r="N33" s="4">
        <v>30</v>
      </c>
    </row>
    <row r="34" spans="1:14" x14ac:dyDescent="0.25">
      <c r="A34" s="1">
        <v>33</v>
      </c>
      <c r="B34" s="2" t="s">
        <v>2</v>
      </c>
      <c r="C34" s="4">
        <v>180</v>
      </c>
      <c r="D34" s="4">
        <v>70</v>
      </c>
      <c r="E34" s="2" t="s">
        <v>4</v>
      </c>
      <c r="F34" s="4">
        <v>2</v>
      </c>
      <c r="G34" s="2" t="s">
        <v>9</v>
      </c>
      <c r="H34" s="2" t="s">
        <v>12</v>
      </c>
      <c r="I34" s="4">
        <v>7</v>
      </c>
      <c r="J34" s="4">
        <v>7</v>
      </c>
      <c r="K34" s="2" t="s">
        <v>14</v>
      </c>
      <c r="L34" s="2" t="s">
        <v>14</v>
      </c>
      <c r="M34" s="2" t="s">
        <v>14</v>
      </c>
      <c r="N34" s="4">
        <v>3</v>
      </c>
    </row>
    <row r="35" spans="1:14" x14ac:dyDescent="0.25">
      <c r="A35" s="1">
        <v>34</v>
      </c>
      <c r="B35" s="2" t="s">
        <v>2</v>
      </c>
      <c r="C35" s="4">
        <v>185</v>
      </c>
      <c r="D35" s="5">
        <v>0</v>
      </c>
      <c r="E35" s="6"/>
      <c r="F35" s="5">
        <v>0</v>
      </c>
      <c r="G35" s="6"/>
      <c r="H35" s="6"/>
      <c r="I35" s="5">
        <v>0</v>
      </c>
      <c r="J35" s="5">
        <v>0</v>
      </c>
      <c r="K35" s="6"/>
      <c r="L35" s="6"/>
      <c r="M35" s="6"/>
      <c r="N35" s="5">
        <v>0</v>
      </c>
    </row>
    <row r="36" spans="1:14" x14ac:dyDescent="0.25">
      <c r="A36" s="1">
        <v>35</v>
      </c>
      <c r="B36" s="2" t="s">
        <v>2</v>
      </c>
      <c r="C36" s="4">
        <v>172</v>
      </c>
      <c r="D36" s="4">
        <v>67</v>
      </c>
      <c r="E36" s="2" t="s">
        <v>5</v>
      </c>
      <c r="F36" s="4">
        <v>2</v>
      </c>
      <c r="G36" s="2" t="s">
        <v>8</v>
      </c>
      <c r="H36" s="2" t="s">
        <v>13</v>
      </c>
      <c r="I36" s="4">
        <v>5.5</v>
      </c>
      <c r="J36" s="4">
        <v>5.2</v>
      </c>
      <c r="K36" s="2" t="s">
        <v>14</v>
      </c>
      <c r="L36" s="2" t="s">
        <v>14</v>
      </c>
      <c r="M36" s="2" t="s">
        <v>14</v>
      </c>
      <c r="N36" s="4">
        <v>15</v>
      </c>
    </row>
    <row r="37" spans="1:14" x14ac:dyDescent="0.25">
      <c r="A37" s="1">
        <v>36</v>
      </c>
      <c r="B37" s="2" t="s">
        <v>1</v>
      </c>
      <c r="C37" s="4">
        <v>185</v>
      </c>
      <c r="D37" s="4">
        <v>85</v>
      </c>
      <c r="E37" s="2" t="s">
        <v>5</v>
      </c>
      <c r="F37" s="4">
        <v>2</v>
      </c>
      <c r="G37" s="2" t="s">
        <v>10</v>
      </c>
      <c r="H37" s="2" t="s">
        <v>12</v>
      </c>
      <c r="I37" s="4">
        <v>8.4</v>
      </c>
      <c r="J37" s="4">
        <v>8.9</v>
      </c>
      <c r="K37" s="2" t="s">
        <v>14</v>
      </c>
      <c r="L37" s="2" t="s">
        <v>14</v>
      </c>
      <c r="M37" s="2" t="s">
        <v>14</v>
      </c>
      <c r="N37" s="4">
        <v>5</v>
      </c>
    </row>
    <row r="38" spans="1:14" x14ac:dyDescent="0.25">
      <c r="A38" s="1">
        <v>37</v>
      </c>
      <c r="B38" s="2" t="s">
        <v>1</v>
      </c>
      <c r="C38" s="4">
        <v>167</v>
      </c>
      <c r="D38" s="4">
        <v>48</v>
      </c>
      <c r="E38" s="2" t="s">
        <v>4</v>
      </c>
      <c r="F38" s="4">
        <v>2</v>
      </c>
      <c r="G38" s="2" t="s">
        <v>8</v>
      </c>
      <c r="H38" s="2" t="s">
        <v>12</v>
      </c>
      <c r="I38" s="4">
        <v>6.21</v>
      </c>
      <c r="J38" s="4">
        <v>8.1</v>
      </c>
      <c r="K38" s="2" t="s">
        <v>14</v>
      </c>
      <c r="L38" s="2" t="s">
        <v>14</v>
      </c>
      <c r="M38" s="2" t="s">
        <v>14</v>
      </c>
      <c r="N38" s="4">
        <v>10</v>
      </c>
    </row>
    <row r="39" spans="1:14" x14ac:dyDescent="0.25">
      <c r="A39" s="1">
        <v>38</v>
      </c>
      <c r="B39" s="2" t="s">
        <v>1</v>
      </c>
      <c r="C39" s="4">
        <v>165</v>
      </c>
      <c r="D39" s="4">
        <v>57</v>
      </c>
      <c r="E39" s="2" t="s">
        <v>4</v>
      </c>
      <c r="F39" s="4">
        <v>3</v>
      </c>
      <c r="G39" s="2" t="s">
        <v>8</v>
      </c>
      <c r="H39" s="2" t="s">
        <v>12</v>
      </c>
      <c r="I39" s="4">
        <v>5.6</v>
      </c>
      <c r="J39" s="4">
        <v>7.9</v>
      </c>
      <c r="K39" s="2" t="s">
        <v>14</v>
      </c>
      <c r="L39" s="2" t="s">
        <v>14</v>
      </c>
      <c r="M39" s="2" t="s">
        <v>14</v>
      </c>
      <c r="N39" s="4">
        <v>10</v>
      </c>
    </row>
    <row r="40" spans="1:14" x14ac:dyDescent="0.25">
      <c r="A40" s="1">
        <v>39</v>
      </c>
      <c r="B40" s="2" t="s">
        <v>1</v>
      </c>
      <c r="C40" s="4">
        <v>165</v>
      </c>
      <c r="D40" s="4">
        <v>58</v>
      </c>
      <c r="E40" s="2" t="s">
        <v>5</v>
      </c>
      <c r="F40" s="4">
        <v>3</v>
      </c>
      <c r="G40" s="2" t="s">
        <v>8</v>
      </c>
      <c r="H40" s="2" t="s">
        <v>12</v>
      </c>
      <c r="I40" s="4">
        <v>6.1</v>
      </c>
      <c r="J40" s="4">
        <v>6.69</v>
      </c>
      <c r="K40" s="2" t="s">
        <v>14</v>
      </c>
      <c r="L40" s="2" t="s">
        <v>14</v>
      </c>
      <c r="M40" s="2" t="s">
        <v>14</v>
      </c>
      <c r="N40" s="4">
        <v>10</v>
      </c>
    </row>
    <row r="41" spans="1:14" x14ac:dyDescent="0.25">
      <c r="A41" s="1">
        <v>40</v>
      </c>
      <c r="B41" s="2" t="s">
        <v>1</v>
      </c>
      <c r="C41" s="4">
        <v>163</v>
      </c>
      <c r="D41" s="4">
        <v>58</v>
      </c>
      <c r="E41" s="2" t="s">
        <v>5</v>
      </c>
      <c r="F41" s="4">
        <v>3</v>
      </c>
      <c r="G41" s="2" t="s">
        <v>8</v>
      </c>
      <c r="H41" s="2" t="s">
        <v>12</v>
      </c>
      <c r="I41" s="4">
        <v>7.8</v>
      </c>
      <c r="J41" s="4">
        <v>10.9</v>
      </c>
      <c r="K41" s="2" t="s">
        <v>14</v>
      </c>
      <c r="L41" s="2" t="s">
        <v>14</v>
      </c>
      <c r="M41" s="2" t="s">
        <v>14</v>
      </c>
      <c r="N41" s="4">
        <v>15</v>
      </c>
    </row>
    <row r="42" spans="1:14" x14ac:dyDescent="0.25">
      <c r="A42" s="1">
        <v>41</v>
      </c>
      <c r="B42" s="2" t="s">
        <v>2</v>
      </c>
      <c r="C42" s="4">
        <v>183</v>
      </c>
      <c r="D42" s="4">
        <v>78</v>
      </c>
      <c r="E42" s="2" t="s">
        <v>7</v>
      </c>
      <c r="F42" s="4">
        <v>1</v>
      </c>
      <c r="G42" s="2" t="s">
        <v>8</v>
      </c>
      <c r="H42" s="2" t="s">
        <v>13</v>
      </c>
      <c r="I42" s="4">
        <v>7.1</v>
      </c>
      <c r="J42" s="4">
        <v>9.1999999999999993</v>
      </c>
      <c r="K42" s="2" t="s">
        <v>14</v>
      </c>
      <c r="L42" s="2" t="s">
        <v>14</v>
      </c>
      <c r="M42" s="2" t="s">
        <v>14</v>
      </c>
      <c r="N42" s="4">
        <v>35</v>
      </c>
    </row>
    <row r="43" spans="1:14" x14ac:dyDescent="0.25">
      <c r="A43" s="1">
        <v>42</v>
      </c>
      <c r="B43" s="2" t="s">
        <v>1</v>
      </c>
      <c r="C43" s="4">
        <v>165</v>
      </c>
      <c r="D43" s="4">
        <v>50</v>
      </c>
      <c r="E43" s="2" t="s">
        <v>5</v>
      </c>
      <c r="F43" s="4">
        <v>5</v>
      </c>
      <c r="G43" s="2" t="s">
        <v>8</v>
      </c>
      <c r="H43" s="2" t="s">
        <v>12</v>
      </c>
      <c r="I43" s="4">
        <v>6.01</v>
      </c>
      <c r="J43" s="4">
        <v>5.3</v>
      </c>
      <c r="K43" s="2" t="s">
        <v>14</v>
      </c>
      <c r="L43" s="2" t="s">
        <v>14</v>
      </c>
      <c r="M43" s="2" t="s">
        <v>14</v>
      </c>
      <c r="N43" s="4">
        <v>20</v>
      </c>
    </row>
    <row r="44" spans="1:14" x14ac:dyDescent="0.25">
      <c r="A44" s="1">
        <v>43</v>
      </c>
      <c r="B44" s="2" t="s">
        <v>2</v>
      </c>
      <c r="C44" s="4">
        <v>180</v>
      </c>
      <c r="D44" s="4">
        <v>71</v>
      </c>
      <c r="E44" s="2" t="s">
        <v>7</v>
      </c>
      <c r="F44" s="4">
        <v>2</v>
      </c>
      <c r="G44" s="2" t="s">
        <v>8</v>
      </c>
      <c r="H44" s="2" t="s">
        <v>12</v>
      </c>
      <c r="I44" s="4">
        <v>5.6</v>
      </c>
      <c r="J44" s="4">
        <v>6.5</v>
      </c>
      <c r="K44" s="2" t="s">
        <v>14</v>
      </c>
      <c r="L44" s="2" t="s">
        <v>14</v>
      </c>
      <c r="M44" s="2" t="s">
        <v>14</v>
      </c>
      <c r="N44" s="4">
        <v>14</v>
      </c>
    </row>
    <row r="45" spans="1:14" x14ac:dyDescent="0.25">
      <c r="A45" s="1">
        <v>44</v>
      </c>
      <c r="B45" s="2" t="s">
        <v>2</v>
      </c>
      <c r="C45" s="4">
        <v>171</v>
      </c>
      <c r="D45" s="4">
        <v>70</v>
      </c>
      <c r="E45" s="2" t="s">
        <v>6</v>
      </c>
      <c r="F45" s="4">
        <v>1</v>
      </c>
      <c r="G45" s="2" t="s">
        <v>10</v>
      </c>
      <c r="H45" s="2" t="s">
        <v>12</v>
      </c>
      <c r="I45" s="4">
        <v>6.8</v>
      </c>
      <c r="J45" s="4">
        <v>9.1999999999999993</v>
      </c>
      <c r="K45" s="2" t="s">
        <v>14</v>
      </c>
      <c r="L45" s="2" t="s">
        <v>14</v>
      </c>
      <c r="M45" s="2" t="s">
        <v>14</v>
      </c>
      <c r="N45" s="4">
        <v>10</v>
      </c>
    </row>
    <row r="46" spans="1:14" x14ac:dyDescent="0.25">
      <c r="A46" s="1">
        <v>45</v>
      </c>
      <c r="B46" s="2" t="s">
        <v>1</v>
      </c>
      <c r="C46" s="7">
        <v>1.65</v>
      </c>
      <c r="D46" s="4">
        <v>60</v>
      </c>
      <c r="E46" s="2" t="s">
        <v>4</v>
      </c>
      <c r="F46" s="4">
        <v>2</v>
      </c>
      <c r="G46" s="2" t="s">
        <v>11</v>
      </c>
      <c r="H46" s="2" t="s">
        <v>13</v>
      </c>
      <c r="I46" s="4">
        <v>5.6</v>
      </c>
      <c r="J46" s="4">
        <v>6.8</v>
      </c>
      <c r="K46" s="2" t="s">
        <v>14</v>
      </c>
      <c r="L46" s="2" t="s">
        <v>14</v>
      </c>
      <c r="M46" s="2" t="s">
        <v>14</v>
      </c>
      <c r="N46" s="4">
        <v>5</v>
      </c>
    </row>
    <row r="47" spans="1:14" x14ac:dyDescent="0.25">
      <c r="A47" s="1">
        <v>46</v>
      </c>
      <c r="B47" s="2" t="s">
        <v>2</v>
      </c>
      <c r="C47" s="4">
        <v>186</v>
      </c>
      <c r="D47" s="4">
        <v>71</v>
      </c>
      <c r="E47" s="2" t="s">
        <v>6</v>
      </c>
      <c r="F47" s="5">
        <v>0</v>
      </c>
      <c r="G47" s="2" t="s">
        <v>8</v>
      </c>
      <c r="H47" s="2" t="s">
        <v>13</v>
      </c>
      <c r="I47" s="4">
        <v>7</v>
      </c>
      <c r="J47" s="4">
        <v>6</v>
      </c>
      <c r="K47" s="2" t="s">
        <v>14</v>
      </c>
      <c r="L47" s="2" t="s">
        <v>14</v>
      </c>
      <c r="M47" s="2" t="s">
        <v>14</v>
      </c>
      <c r="N47" s="4">
        <v>6</v>
      </c>
    </row>
    <row r="48" spans="1:14" x14ac:dyDescent="0.25">
      <c r="A48" s="1">
        <v>47</v>
      </c>
      <c r="B48" s="2" t="s">
        <v>2</v>
      </c>
      <c r="C48" s="7">
        <v>1.87</v>
      </c>
      <c r="D48" s="4">
        <v>82</v>
      </c>
      <c r="E48" s="2" t="s">
        <v>7</v>
      </c>
      <c r="F48" s="4">
        <v>3</v>
      </c>
      <c r="G48" s="2" t="s">
        <v>8</v>
      </c>
      <c r="H48" s="2" t="s">
        <v>12</v>
      </c>
      <c r="I48" s="4">
        <v>5.9</v>
      </c>
      <c r="J48" s="5">
        <v>0</v>
      </c>
      <c r="K48" s="2" t="s">
        <v>14</v>
      </c>
      <c r="L48" s="2" t="s">
        <v>14</v>
      </c>
      <c r="M48" s="2" t="s">
        <v>14</v>
      </c>
      <c r="N48" s="4">
        <v>2</v>
      </c>
    </row>
    <row r="49" spans="1:14" x14ac:dyDescent="0.25">
      <c r="A49" s="1">
        <v>48</v>
      </c>
      <c r="B49" s="2" t="s">
        <v>2</v>
      </c>
      <c r="C49" s="7">
        <v>1.75</v>
      </c>
      <c r="D49" s="4">
        <v>70</v>
      </c>
      <c r="E49" s="2" t="s">
        <v>6</v>
      </c>
      <c r="F49" s="4">
        <v>6</v>
      </c>
      <c r="G49" s="2" t="s">
        <v>8</v>
      </c>
      <c r="H49" s="2" t="s">
        <v>13</v>
      </c>
      <c r="I49" s="4">
        <v>5</v>
      </c>
      <c r="J49" s="4">
        <v>7</v>
      </c>
      <c r="K49" s="2" t="s">
        <v>14</v>
      </c>
      <c r="L49" s="2" t="s">
        <v>14</v>
      </c>
      <c r="M49" s="2" t="s">
        <v>14</v>
      </c>
      <c r="N49" s="4">
        <v>70</v>
      </c>
    </row>
    <row r="50" spans="1:14" x14ac:dyDescent="0.25">
      <c r="A50" s="1">
        <v>49</v>
      </c>
      <c r="B50" s="2" t="s">
        <v>2</v>
      </c>
      <c r="C50" s="4">
        <v>180</v>
      </c>
      <c r="D50" s="4">
        <v>71</v>
      </c>
      <c r="E50" s="2" t="s">
        <v>5</v>
      </c>
      <c r="F50" s="4">
        <v>2</v>
      </c>
      <c r="G50" s="2" t="s">
        <v>11</v>
      </c>
      <c r="H50" s="2" t="s">
        <v>12</v>
      </c>
      <c r="I50" s="4">
        <v>8</v>
      </c>
      <c r="J50" s="4">
        <v>9</v>
      </c>
      <c r="K50" s="2" t="s">
        <v>14</v>
      </c>
      <c r="L50" s="2" t="s">
        <v>14</v>
      </c>
      <c r="M50" s="2" t="s">
        <v>14</v>
      </c>
      <c r="N50" s="4">
        <v>10</v>
      </c>
    </row>
    <row r="51" spans="1:14" x14ac:dyDescent="0.25">
      <c r="A51" s="1">
        <v>50</v>
      </c>
      <c r="B51" s="2" t="s">
        <v>2</v>
      </c>
      <c r="C51" s="7">
        <v>1.8</v>
      </c>
      <c r="D51" s="4">
        <v>70</v>
      </c>
      <c r="E51" s="2" t="s">
        <v>6</v>
      </c>
      <c r="F51" s="4">
        <v>2</v>
      </c>
      <c r="G51" s="2" t="s">
        <v>8</v>
      </c>
      <c r="H51" s="2" t="s">
        <v>12</v>
      </c>
      <c r="I51" s="4">
        <v>6.2</v>
      </c>
      <c r="J51" s="4">
        <v>8.1</v>
      </c>
      <c r="K51" s="2" t="s">
        <v>14</v>
      </c>
      <c r="L51" s="2" t="s">
        <v>14</v>
      </c>
      <c r="M51" s="2" t="s">
        <v>14</v>
      </c>
      <c r="N51" s="4">
        <v>3</v>
      </c>
    </row>
    <row r="52" spans="1:14" x14ac:dyDescent="0.25">
      <c r="A52" s="1">
        <v>51</v>
      </c>
      <c r="B52" s="2" t="s">
        <v>2</v>
      </c>
      <c r="C52" s="4">
        <v>168</v>
      </c>
      <c r="D52" s="4">
        <v>65</v>
      </c>
      <c r="E52" s="2" t="s">
        <v>6</v>
      </c>
      <c r="F52" s="4">
        <v>2</v>
      </c>
      <c r="G52" s="2" t="s">
        <v>8</v>
      </c>
      <c r="H52" s="2" t="s">
        <v>13</v>
      </c>
      <c r="I52" s="4">
        <v>5.3</v>
      </c>
      <c r="J52" s="4">
        <v>7.2</v>
      </c>
      <c r="K52" s="2" t="s">
        <v>14</v>
      </c>
      <c r="L52" s="2" t="s">
        <v>14</v>
      </c>
      <c r="M52" s="2" t="s">
        <v>14</v>
      </c>
      <c r="N52" s="4">
        <v>7</v>
      </c>
    </row>
    <row r="53" spans="1:14" x14ac:dyDescent="0.25">
      <c r="A53" s="1">
        <v>52</v>
      </c>
      <c r="B53" s="2" t="s">
        <v>2</v>
      </c>
      <c r="C53" s="4">
        <v>190</v>
      </c>
      <c r="D53" s="4">
        <v>75</v>
      </c>
      <c r="E53" s="2" t="s">
        <v>5</v>
      </c>
      <c r="F53" s="4">
        <v>3</v>
      </c>
      <c r="G53" s="2" t="s">
        <v>11</v>
      </c>
      <c r="H53" s="2" t="s">
        <v>12</v>
      </c>
      <c r="I53" s="4">
        <v>6.72</v>
      </c>
      <c r="J53" s="4">
        <v>7.43</v>
      </c>
      <c r="K53" s="2" t="s">
        <v>14</v>
      </c>
      <c r="L53" s="2" t="s">
        <v>14</v>
      </c>
      <c r="M53" s="2" t="s">
        <v>14</v>
      </c>
      <c r="N53" s="4">
        <v>30</v>
      </c>
    </row>
    <row r="54" spans="1:14" x14ac:dyDescent="0.25">
      <c r="A54" s="1">
        <v>53</v>
      </c>
      <c r="B54" s="2" t="s">
        <v>1</v>
      </c>
      <c r="C54" s="4">
        <v>187</v>
      </c>
      <c r="D54" s="4">
        <v>70</v>
      </c>
      <c r="E54" s="2" t="s">
        <v>5</v>
      </c>
      <c r="F54" s="4">
        <v>2</v>
      </c>
      <c r="G54" s="2" t="s">
        <v>10</v>
      </c>
      <c r="H54" s="2" t="s">
        <v>12</v>
      </c>
      <c r="I54" s="4">
        <v>6</v>
      </c>
      <c r="J54" s="4">
        <v>10</v>
      </c>
      <c r="K54" s="2" t="s">
        <v>14</v>
      </c>
      <c r="L54" s="2" t="s">
        <v>14</v>
      </c>
      <c r="M54" s="2" t="s">
        <v>14</v>
      </c>
      <c r="N54" s="4">
        <v>1</v>
      </c>
    </row>
    <row r="55" spans="1:14" x14ac:dyDescent="0.25">
      <c r="A55" s="1">
        <v>54</v>
      </c>
      <c r="B55" s="2" t="s">
        <v>2</v>
      </c>
      <c r="C55" s="4">
        <v>169</v>
      </c>
      <c r="D55" s="4">
        <v>72</v>
      </c>
      <c r="E55" s="2" t="s">
        <v>5</v>
      </c>
      <c r="F55" s="4">
        <v>1</v>
      </c>
      <c r="G55" s="2" t="s">
        <v>11</v>
      </c>
      <c r="H55" s="2" t="s">
        <v>13</v>
      </c>
      <c r="I55" s="4">
        <v>6.7</v>
      </c>
      <c r="J55" s="4">
        <v>8.5</v>
      </c>
      <c r="K55" s="2" t="s">
        <v>14</v>
      </c>
      <c r="L55" s="2" t="s">
        <v>14</v>
      </c>
      <c r="M55" s="2" t="s">
        <v>14</v>
      </c>
      <c r="N55" s="4">
        <v>10</v>
      </c>
    </row>
    <row r="56" spans="1:14" x14ac:dyDescent="0.25">
      <c r="A56" s="1">
        <v>55</v>
      </c>
      <c r="B56" s="2" t="s">
        <v>2</v>
      </c>
      <c r="C56" s="4">
        <v>175</v>
      </c>
      <c r="D56" s="4">
        <v>73</v>
      </c>
      <c r="E56" s="2" t="s">
        <v>6</v>
      </c>
      <c r="F56" s="4">
        <v>2</v>
      </c>
      <c r="G56" s="2" t="s">
        <v>11</v>
      </c>
      <c r="H56" s="2" t="s">
        <v>12</v>
      </c>
      <c r="I56" s="4">
        <v>7</v>
      </c>
      <c r="J56" s="4">
        <v>9.8000000000000007</v>
      </c>
      <c r="K56" s="2" t="s">
        <v>14</v>
      </c>
      <c r="L56" s="2" t="s">
        <v>14</v>
      </c>
      <c r="M56" s="2" t="s">
        <v>14</v>
      </c>
      <c r="N56" s="4">
        <v>3</v>
      </c>
    </row>
    <row r="57" spans="1:14" x14ac:dyDescent="0.25">
      <c r="A57" s="1">
        <v>56</v>
      </c>
      <c r="B57" s="2" t="s">
        <v>2</v>
      </c>
      <c r="C57" s="4">
        <v>165</v>
      </c>
      <c r="D57" s="4">
        <v>75</v>
      </c>
      <c r="E57" s="2" t="s">
        <v>4</v>
      </c>
      <c r="F57" s="4">
        <v>3</v>
      </c>
      <c r="G57" s="2" t="s">
        <v>8</v>
      </c>
      <c r="H57" s="2" t="s">
        <v>12</v>
      </c>
      <c r="I57" s="5">
        <v>0</v>
      </c>
      <c r="J57" s="5">
        <v>0</v>
      </c>
      <c r="K57" s="2" t="s">
        <v>14</v>
      </c>
      <c r="L57" s="2" t="s">
        <v>14</v>
      </c>
      <c r="M57" s="2" t="s">
        <v>15</v>
      </c>
      <c r="N57" s="4">
        <v>0</v>
      </c>
    </row>
    <row r="58" spans="1:14" x14ac:dyDescent="0.25">
      <c r="A58" s="1">
        <v>57</v>
      </c>
      <c r="B58" s="2" t="s">
        <v>2</v>
      </c>
      <c r="C58" s="4">
        <v>176</v>
      </c>
      <c r="D58" s="4">
        <v>90</v>
      </c>
      <c r="E58" s="2" t="s">
        <v>5</v>
      </c>
      <c r="F58" s="4">
        <v>2</v>
      </c>
      <c r="G58" s="2" t="s">
        <v>9</v>
      </c>
      <c r="H58" s="2" t="s">
        <v>12</v>
      </c>
      <c r="I58" s="4">
        <v>6.2</v>
      </c>
      <c r="J58" s="4">
        <v>7.4</v>
      </c>
      <c r="K58" s="2" t="s">
        <v>14</v>
      </c>
      <c r="L58" s="2" t="s">
        <v>14</v>
      </c>
      <c r="M58" s="2" t="s">
        <v>14</v>
      </c>
      <c r="N58" s="4">
        <v>15</v>
      </c>
    </row>
    <row r="59" spans="1:14" x14ac:dyDescent="0.25">
      <c r="A59" s="1">
        <v>58</v>
      </c>
      <c r="B59" s="2" t="s">
        <v>2</v>
      </c>
      <c r="C59" s="4">
        <v>178</v>
      </c>
      <c r="D59" s="4">
        <v>67.5</v>
      </c>
      <c r="E59" s="2" t="s">
        <v>5</v>
      </c>
      <c r="F59" s="4">
        <v>2</v>
      </c>
      <c r="G59" s="2" t="s">
        <v>9</v>
      </c>
      <c r="H59" s="2" t="s">
        <v>12</v>
      </c>
      <c r="I59" s="4">
        <v>5.7</v>
      </c>
      <c r="J59" s="4">
        <v>6.3</v>
      </c>
      <c r="K59" s="2" t="s">
        <v>14</v>
      </c>
      <c r="L59" s="2" t="s">
        <v>14</v>
      </c>
      <c r="M59" s="2" t="s">
        <v>14</v>
      </c>
      <c r="N59" s="4">
        <v>3</v>
      </c>
    </row>
    <row r="60" spans="1:14" x14ac:dyDescent="0.25">
      <c r="A60" s="1">
        <v>59</v>
      </c>
      <c r="B60" s="2" t="s">
        <v>2</v>
      </c>
      <c r="C60" s="4">
        <v>165</v>
      </c>
      <c r="D60" s="4">
        <v>70</v>
      </c>
      <c r="E60" s="2" t="s">
        <v>4</v>
      </c>
      <c r="F60" s="4">
        <v>3</v>
      </c>
      <c r="G60" s="2" t="s">
        <v>8</v>
      </c>
      <c r="H60" s="2" t="s">
        <v>12</v>
      </c>
      <c r="I60" s="4">
        <v>7.7</v>
      </c>
      <c r="J60" s="4">
        <v>9.1</v>
      </c>
      <c r="K60" s="2" t="s">
        <v>14</v>
      </c>
      <c r="L60" s="2" t="s">
        <v>15</v>
      </c>
      <c r="M60" s="2" t="s">
        <v>14</v>
      </c>
      <c r="N60" s="4">
        <v>5</v>
      </c>
    </row>
    <row r="61" spans="1:14" x14ac:dyDescent="0.25">
      <c r="A61" s="1">
        <v>60</v>
      </c>
      <c r="B61" s="2" t="s">
        <v>2</v>
      </c>
      <c r="C61" s="4">
        <v>174</v>
      </c>
      <c r="D61" s="4">
        <v>70</v>
      </c>
      <c r="E61" s="2" t="s">
        <v>4</v>
      </c>
      <c r="F61" s="5">
        <v>0</v>
      </c>
      <c r="G61" s="2" t="s">
        <v>8</v>
      </c>
      <c r="H61" s="2" t="s">
        <v>13</v>
      </c>
      <c r="I61" s="4">
        <v>8.5</v>
      </c>
      <c r="J61" s="4">
        <v>11.1</v>
      </c>
      <c r="K61" s="2" t="s">
        <v>14</v>
      </c>
      <c r="L61" s="2" t="s">
        <v>14</v>
      </c>
      <c r="M61" s="2" t="s">
        <v>14</v>
      </c>
      <c r="N61" s="4">
        <v>1</v>
      </c>
    </row>
    <row r="62" spans="1:14" x14ac:dyDescent="0.25">
      <c r="A62" s="1">
        <v>61</v>
      </c>
      <c r="B62" s="2" t="s">
        <v>1</v>
      </c>
      <c r="C62" s="4">
        <v>175</v>
      </c>
      <c r="D62" s="4">
        <v>70</v>
      </c>
      <c r="E62" s="2" t="s">
        <v>4</v>
      </c>
      <c r="F62" s="4">
        <v>2</v>
      </c>
      <c r="G62" s="2" t="s">
        <v>11</v>
      </c>
      <c r="H62" s="2" t="s">
        <v>12</v>
      </c>
      <c r="I62" s="4">
        <v>9.3000000000000007</v>
      </c>
      <c r="J62" s="4">
        <v>8.9</v>
      </c>
      <c r="K62" s="2" t="s">
        <v>14</v>
      </c>
      <c r="L62" s="2" t="s">
        <v>14</v>
      </c>
      <c r="M62" s="2" t="s">
        <v>14</v>
      </c>
      <c r="N62" s="4">
        <v>7</v>
      </c>
    </row>
    <row r="63" spans="1:14" x14ac:dyDescent="0.25">
      <c r="A63" s="1">
        <v>62</v>
      </c>
      <c r="B63" s="6"/>
      <c r="C63" s="4">
        <v>166</v>
      </c>
      <c r="D63" s="5">
        <v>0</v>
      </c>
      <c r="E63" s="6"/>
      <c r="F63" s="5">
        <v>0</v>
      </c>
      <c r="G63" s="6"/>
      <c r="H63" s="6"/>
      <c r="I63" s="5">
        <v>0</v>
      </c>
      <c r="J63" s="5">
        <v>0</v>
      </c>
      <c r="K63" s="6"/>
      <c r="L63" s="6"/>
      <c r="M63" s="6"/>
      <c r="N63" s="5">
        <v>0</v>
      </c>
    </row>
    <row r="64" spans="1:14" x14ac:dyDescent="0.25">
      <c r="A64" s="1">
        <v>63</v>
      </c>
      <c r="B64" s="2" t="s">
        <v>1</v>
      </c>
      <c r="C64" s="4">
        <v>158</v>
      </c>
      <c r="D64" s="4">
        <v>45</v>
      </c>
      <c r="E64" s="2" t="s">
        <v>4</v>
      </c>
      <c r="F64" s="4">
        <v>1</v>
      </c>
      <c r="G64" s="2" t="s">
        <v>10</v>
      </c>
      <c r="H64" s="2" t="s">
        <v>12</v>
      </c>
      <c r="I64" s="4">
        <v>8.6300000000000008</v>
      </c>
      <c r="J64" s="4">
        <v>12.4</v>
      </c>
      <c r="K64" s="2" t="s">
        <v>14</v>
      </c>
      <c r="L64" s="2" t="s">
        <v>14</v>
      </c>
      <c r="M64" s="2" t="s">
        <v>14</v>
      </c>
      <c r="N64" s="4">
        <v>2</v>
      </c>
    </row>
    <row r="65" spans="1:14" x14ac:dyDescent="0.25">
      <c r="A65" s="1">
        <v>64</v>
      </c>
      <c r="B65" s="2" t="s">
        <v>2</v>
      </c>
      <c r="C65" s="4">
        <v>175</v>
      </c>
      <c r="D65" s="4">
        <v>80</v>
      </c>
      <c r="E65" s="2" t="s">
        <v>5</v>
      </c>
      <c r="F65" s="4">
        <v>4</v>
      </c>
      <c r="G65" s="2" t="s">
        <v>8</v>
      </c>
      <c r="H65" s="2" t="s">
        <v>12</v>
      </c>
      <c r="I65" s="4">
        <v>6.5</v>
      </c>
      <c r="J65" s="4">
        <v>6.5</v>
      </c>
      <c r="K65" s="2" t="s">
        <v>14</v>
      </c>
      <c r="L65" s="2" t="s">
        <v>15</v>
      </c>
      <c r="M65" s="2" t="s">
        <v>14</v>
      </c>
      <c r="N65" s="4">
        <v>25</v>
      </c>
    </row>
    <row r="66" spans="1:14" x14ac:dyDescent="0.25">
      <c r="A66" s="1">
        <v>65</v>
      </c>
      <c r="B66" s="2" t="s">
        <v>2</v>
      </c>
      <c r="C66" s="4">
        <v>190</v>
      </c>
      <c r="D66" s="4">
        <v>80</v>
      </c>
      <c r="E66" s="2" t="s">
        <v>5</v>
      </c>
      <c r="F66" s="4">
        <v>2</v>
      </c>
      <c r="G66" s="2" t="s">
        <v>8</v>
      </c>
      <c r="H66" s="2" t="s">
        <v>12</v>
      </c>
      <c r="I66" s="4">
        <v>8</v>
      </c>
      <c r="J66" s="4">
        <v>9</v>
      </c>
      <c r="K66" s="2" t="s">
        <v>14</v>
      </c>
      <c r="L66" s="2" t="s">
        <v>14</v>
      </c>
      <c r="M66" s="2" t="s">
        <v>14</v>
      </c>
      <c r="N66" s="4">
        <v>30</v>
      </c>
    </row>
    <row r="67" spans="1:14" x14ac:dyDescent="0.25">
      <c r="A67" s="1">
        <v>66</v>
      </c>
      <c r="B67" s="2" t="s">
        <v>2</v>
      </c>
      <c r="C67" s="7">
        <v>1.78</v>
      </c>
      <c r="D67" s="4">
        <v>72</v>
      </c>
      <c r="E67" s="2" t="s">
        <v>6</v>
      </c>
      <c r="F67" s="4">
        <v>2</v>
      </c>
      <c r="G67" s="2" t="s">
        <v>8</v>
      </c>
      <c r="H67" s="2" t="s">
        <v>12</v>
      </c>
      <c r="I67" s="4">
        <v>7.1</v>
      </c>
      <c r="J67" s="4">
        <v>6.6</v>
      </c>
      <c r="K67" s="2" t="s">
        <v>14</v>
      </c>
      <c r="L67" s="2" t="s">
        <v>14</v>
      </c>
      <c r="M67" s="2" t="s">
        <v>14</v>
      </c>
      <c r="N67" s="4">
        <v>35</v>
      </c>
    </row>
    <row r="68" spans="1:14" x14ac:dyDescent="0.25">
      <c r="A68" s="1">
        <v>67</v>
      </c>
      <c r="B68" s="2" t="s">
        <v>2</v>
      </c>
      <c r="C68" s="4">
        <v>166</v>
      </c>
      <c r="D68" s="4">
        <v>62</v>
      </c>
      <c r="E68" s="2" t="s">
        <v>7</v>
      </c>
      <c r="F68" s="5">
        <v>0</v>
      </c>
      <c r="G68" s="2" t="s">
        <v>10</v>
      </c>
      <c r="H68" s="2" t="s">
        <v>12</v>
      </c>
      <c r="I68" s="4">
        <v>9.4</v>
      </c>
      <c r="J68" s="4">
        <v>10.7</v>
      </c>
      <c r="K68" s="2" t="s">
        <v>14</v>
      </c>
      <c r="L68" s="2" t="s">
        <v>14</v>
      </c>
      <c r="M68" s="2" t="s">
        <v>14</v>
      </c>
      <c r="N68" s="4">
        <v>35</v>
      </c>
    </row>
    <row r="69" spans="1:14" x14ac:dyDescent="0.25">
      <c r="A69" s="1">
        <v>68</v>
      </c>
      <c r="B69" s="2" t="s">
        <v>2</v>
      </c>
      <c r="C69" s="4">
        <v>180</v>
      </c>
      <c r="D69" s="4">
        <v>82</v>
      </c>
      <c r="E69" s="2" t="s">
        <v>4</v>
      </c>
      <c r="F69" s="4">
        <v>1</v>
      </c>
      <c r="G69" s="2" t="s">
        <v>8</v>
      </c>
      <c r="H69" s="2" t="s">
        <v>12</v>
      </c>
      <c r="I69" s="4">
        <v>7.1</v>
      </c>
      <c r="J69" s="4">
        <v>7.7</v>
      </c>
      <c r="K69" s="2" t="s">
        <v>14</v>
      </c>
      <c r="L69" s="2" t="s">
        <v>14</v>
      </c>
      <c r="M69" s="2" t="s">
        <v>14</v>
      </c>
      <c r="N69" s="4">
        <v>1</v>
      </c>
    </row>
    <row r="70" spans="1:14" x14ac:dyDescent="0.25">
      <c r="A70" s="1">
        <v>69</v>
      </c>
      <c r="B70" s="2" t="s">
        <v>2</v>
      </c>
      <c r="C70" s="4">
        <v>189</v>
      </c>
      <c r="D70" s="4">
        <v>85</v>
      </c>
      <c r="E70" s="2" t="s">
        <v>5</v>
      </c>
      <c r="F70" s="4">
        <v>3</v>
      </c>
      <c r="G70" s="2" t="s">
        <v>8</v>
      </c>
      <c r="H70" s="2" t="s">
        <v>13</v>
      </c>
      <c r="I70" s="4">
        <v>7</v>
      </c>
      <c r="J70" s="5">
        <v>0</v>
      </c>
      <c r="K70" s="2" t="s">
        <v>14</v>
      </c>
      <c r="L70" s="2" t="s">
        <v>14</v>
      </c>
      <c r="M70" s="2" t="s">
        <v>14</v>
      </c>
      <c r="N70" s="4">
        <v>15</v>
      </c>
    </row>
    <row r="71" spans="1:14" x14ac:dyDescent="0.25">
      <c r="A71" s="1">
        <v>70</v>
      </c>
      <c r="B71" s="2" t="s">
        <v>2</v>
      </c>
      <c r="C71" s="4">
        <v>190</v>
      </c>
      <c r="D71" s="4">
        <v>75</v>
      </c>
      <c r="E71" s="2" t="s">
        <v>6</v>
      </c>
      <c r="F71" s="4">
        <v>2</v>
      </c>
      <c r="G71" s="6"/>
      <c r="H71" s="2" t="s">
        <v>12</v>
      </c>
      <c r="I71" s="4">
        <v>7</v>
      </c>
      <c r="J71" s="4">
        <v>9</v>
      </c>
      <c r="K71" s="2" t="s">
        <v>14</v>
      </c>
      <c r="L71" s="2" t="s">
        <v>14</v>
      </c>
      <c r="M71" s="2" t="s">
        <v>14</v>
      </c>
      <c r="N71" s="4">
        <v>14</v>
      </c>
    </row>
    <row r="72" spans="1:14" x14ac:dyDescent="0.25">
      <c r="A72" s="1">
        <v>71</v>
      </c>
      <c r="B72" s="2" t="s">
        <v>1</v>
      </c>
      <c r="C72" s="4">
        <v>168</v>
      </c>
      <c r="D72" s="4">
        <v>61</v>
      </c>
      <c r="E72" s="2" t="s">
        <v>4</v>
      </c>
      <c r="F72" s="4">
        <v>3</v>
      </c>
      <c r="G72" s="2" t="s">
        <v>8</v>
      </c>
      <c r="H72" s="2" t="s">
        <v>13</v>
      </c>
      <c r="I72" s="4">
        <v>6</v>
      </c>
      <c r="J72" s="4">
        <v>6</v>
      </c>
      <c r="K72" s="2" t="s">
        <v>14</v>
      </c>
      <c r="L72" s="2" t="s">
        <v>14</v>
      </c>
      <c r="M72" s="2" t="s">
        <v>14</v>
      </c>
      <c r="N72" s="4">
        <v>0</v>
      </c>
    </row>
    <row r="73" spans="1:14" x14ac:dyDescent="0.25">
      <c r="A73" s="1">
        <v>72</v>
      </c>
      <c r="B73" s="2" t="s">
        <v>2</v>
      </c>
      <c r="C73" s="4">
        <v>180</v>
      </c>
      <c r="D73" s="4">
        <v>85</v>
      </c>
      <c r="E73" s="2" t="s">
        <v>5</v>
      </c>
      <c r="F73" s="4">
        <v>1</v>
      </c>
      <c r="G73" s="2" t="s">
        <v>8</v>
      </c>
      <c r="H73" s="2" t="s">
        <v>13</v>
      </c>
      <c r="I73" s="4">
        <v>6.5</v>
      </c>
      <c r="J73" s="4">
        <v>5</v>
      </c>
      <c r="K73" s="2" t="s">
        <v>14</v>
      </c>
      <c r="L73" s="2" t="s">
        <v>14</v>
      </c>
      <c r="M73" s="2" t="s">
        <v>14</v>
      </c>
      <c r="N73" s="4">
        <v>20</v>
      </c>
    </row>
    <row r="74" spans="1:14" x14ac:dyDescent="0.25">
      <c r="A74" s="1">
        <v>73</v>
      </c>
      <c r="B74" s="2" t="s">
        <v>2</v>
      </c>
      <c r="C74" s="4">
        <v>182</v>
      </c>
      <c r="D74" s="4">
        <v>80</v>
      </c>
      <c r="E74" s="2" t="s">
        <v>6</v>
      </c>
      <c r="F74" s="4">
        <v>1</v>
      </c>
      <c r="G74" s="2" t="s">
        <v>8</v>
      </c>
      <c r="H74" s="2" t="s">
        <v>13</v>
      </c>
      <c r="I74" s="4">
        <v>7</v>
      </c>
      <c r="J74" s="4">
        <v>7</v>
      </c>
      <c r="K74" s="2" t="s">
        <v>14</v>
      </c>
      <c r="L74" s="2" t="s">
        <v>14</v>
      </c>
      <c r="M74" s="2" t="s">
        <v>14</v>
      </c>
      <c r="N74" s="4">
        <v>70</v>
      </c>
    </row>
    <row r="75" spans="1:14" x14ac:dyDescent="0.25">
      <c r="A75" s="1">
        <v>74</v>
      </c>
      <c r="B75" s="2" t="s">
        <v>2</v>
      </c>
      <c r="C75" s="7">
        <v>1.8</v>
      </c>
      <c r="D75" s="4">
        <v>85</v>
      </c>
      <c r="E75" s="2" t="s">
        <v>7</v>
      </c>
      <c r="F75" s="4">
        <v>3</v>
      </c>
      <c r="G75" s="2" t="s">
        <v>8</v>
      </c>
      <c r="H75" s="2" t="s">
        <v>12</v>
      </c>
      <c r="I75" s="4">
        <v>7.8</v>
      </c>
      <c r="J75" s="5">
        <v>0</v>
      </c>
      <c r="K75" s="2" t="s">
        <v>14</v>
      </c>
      <c r="L75" s="2" t="s">
        <v>14</v>
      </c>
      <c r="M75" s="2" t="s">
        <v>15</v>
      </c>
      <c r="N75" s="4">
        <v>0</v>
      </c>
    </row>
    <row r="76" spans="1:14" x14ac:dyDescent="0.25">
      <c r="A76" s="1">
        <v>75</v>
      </c>
      <c r="B76" s="2" t="s">
        <v>2</v>
      </c>
      <c r="C76" s="4">
        <v>175</v>
      </c>
      <c r="D76" s="4">
        <v>62</v>
      </c>
      <c r="E76" s="2" t="s">
        <v>6</v>
      </c>
      <c r="F76" s="4">
        <v>2</v>
      </c>
      <c r="G76" s="2" t="s">
        <v>10</v>
      </c>
      <c r="H76" s="2" t="s">
        <v>12</v>
      </c>
      <c r="I76" s="4">
        <v>7</v>
      </c>
      <c r="J76" s="4">
        <v>9.1</v>
      </c>
      <c r="K76" s="2" t="s">
        <v>14</v>
      </c>
      <c r="L76" s="2" t="s">
        <v>14</v>
      </c>
      <c r="M76" s="2" t="s">
        <v>14</v>
      </c>
      <c r="N76" s="4">
        <v>60</v>
      </c>
    </row>
    <row r="77" spans="1:14" x14ac:dyDescent="0.25">
      <c r="A77" s="1">
        <v>76</v>
      </c>
      <c r="B77" s="2" t="s">
        <v>2</v>
      </c>
      <c r="C77" s="4">
        <v>183</v>
      </c>
      <c r="D77" s="4">
        <v>80</v>
      </c>
      <c r="E77" s="2" t="s">
        <v>7</v>
      </c>
      <c r="F77" s="4">
        <v>2</v>
      </c>
      <c r="G77" s="2" t="s">
        <v>8</v>
      </c>
      <c r="H77" s="2" t="s">
        <v>12</v>
      </c>
      <c r="I77" s="4">
        <v>6</v>
      </c>
      <c r="J77" s="4">
        <v>6.8</v>
      </c>
      <c r="K77" s="2" t="s">
        <v>14</v>
      </c>
      <c r="L77" s="2" t="s">
        <v>14</v>
      </c>
      <c r="M77" s="2" t="s">
        <v>14</v>
      </c>
      <c r="N77" s="4">
        <v>4</v>
      </c>
    </row>
    <row r="78" spans="1:14" x14ac:dyDescent="0.25">
      <c r="A78" s="1">
        <v>77</v>
      </c>
      <c r="B78" s="2" t="s">
        <v>2</v>
      </c>
      <c r="C78" s="4">
        <v>180</v>
      </c>
      <c r="D78" s="4">
        <v>85</v>
      </c>
      <c r="E78" s="2" t="s">
        <v>5</v>
      </c>
      <c r="F78" s="4">
        <v>3</v>
      </c>
      <c r="G78" s="2" t="s">
        <v>10</v>
      </c>
      <c r="H78" s="2" t="s">
        <v>12</v>
      </c>
      <c r="I78" s="4">
        <v>5.7</v>
      </c>
      <c r="J78" s="4">
        <v>6.4</v>
      </c>
      <c r="K78" s="2" t="s">
        <v>14</v>
      </c>
      <c r="L78" s="2" t="s">
        <v>14</v>
      </c>
      <c r="M78" s="2" t="s">
        <v>14</v>
      </c>
      <c r="N78" s="4">
        <v>10</v>
      </c>
    </row>
    <row r="79" spans="1:14" x14ac:dyDescent="0.25">
      <c r="A79" s="1">
        <v>78</v>
      </c>
      <c r="B79" s="2" t="s">
        <v>2</v>
      </c>
      <c r="C79" s="4">
        <v>175</v>
      </c>
      <c r="D79" s="4">
        <v>75</v>
      </c>
      <c r="E79" s="2" t="s">
        <v>7</v>
      </c>
      <c r="F79" s="4">
        <v>1</v>
      </c>
      <c r="G79" s="2" t="s">
        <v>10</v>
      </c>
      <c r="H79" s="2" t="s">
        <v>12</v>
      </c>
      <c r="I79" s="4">
        <v>7.3</v>
      </c>
      <c r="J79" s="4">
        <v>9.5</v>
      </c>
      <c r="K79" s="2" t="s">
        <v>14</v>
      </c>
      <c r="L79" s="2" t="s">
        <v>14</v>
      </c>
      <c r="M79" s="2" t="s">
        <v>14</v>
      </c>
      <c r="N79" s="4">
        <v>5</v>
      </c>
    </row>
    <row r="80" spans="1:14" x14ac:dyDescent="0.25">
      <c r="A80" s="1">
        <v>79</v>
      </c>
      <c r="B80" s="2" t="s">
        <v>2</v>
      </c>
      <c r="C80" s="4">
        <v>180</v>
      </c>
      <c r="D80" s="4">
        <v>72</v>
      </c>
      <c r="E80" s="2" t="s">
        <v>6</v>
      </c>
      <c r="F80" s="4">
        <v>2</v>
      </c>
      <c r="G80" s="2" t="s">
        <v>8</v>
      </c>
      <c r="H80" s="2" t="s">
        <v>13</v>
      </c>
      <c r="I80" s="4">
        <v>6.98</v>
      </c>
      <c r="J80" s="4">
        <v>9.3000000000000007</v>
      </c>
      <c r="K80" s="2" t="s">
        <v>14</v>
      </c>
      <c r="L80" s="2" t="s">
        <v>14</v>
      </c>
      <c r="M80" s="2" t="s">
        <v>14</v>
      </c>
      <c r="N80" s="4">
        <v>2</v>
      </c>
    </row>
    <row r="81" spans="1:14" x14ac:dyDescent="0.25">
      <c r="A81" s="1">
        <v>80</v>
      </c>
      <c r="B81" s="2" t="s">
        <v>2</v>
      </c>
      <c r="C81" s="4">
        <v>175</v>
      </c>
      <c r="D81" s="4">
        <v>68</v>
      </c>
      <c r="E81" s="2" t="s">
        <v>5</v>
      </c>
      <c r="F81" s="4">
        <v>2</v>
      </c>
      <c r="G81" s="2" t="s">
        <v>8</v>
      </c>
      <c r="H81" s="2" t="s">
        <v>13</v>
      </c>
      <c r="I81" s="4">
        <v>6.5</v>
      </c>
      <c r="J81" s="4">
        <v>8.4</v>
      </c>
      <c r="K81" s="2" t="s">
        <v>14</v>
      </c>
      <c r="L81" s="2" t="s">
        <v>14</v>
      </c>
      <c r="M81" s="2" t="s">
        <v>14</v>
      </c>
      <c r="N81" s="4">
        <v>2</v>
      </c>
    </row>
    <row r="82" spans="1:14" x14ac:dyDescent="0.25">
      <c r="A82" s="1">
        <v>81</v>
      </c>
      <c r="B82" s="2" t="s">
        <v>2</v>
      </c>
      <c r="C82" s="4">
        <v>180</v>
      </c>
      <c r="D82" s="4">
        <v>72</v>
      </c>
      <c r="E82" s="2" t="s">
        <v>5</v>
      </c>
      <c r="F82" s="4">
        <v>3</v>
      </c>
      <c r="G82" s="2" t="s">
        <v>8</v>
      </c>
      <c r="H82" s="2" t="s">
        <v>13</v>
      </c>
      <c r="I82" s="4">
        <v>6.7</v>
      </c>
      <c r="J82" s="4">
        <v>6.3</v>
      </c>
      <c r="K82" s="2" t="s">
        <v>14</v>
      </c>
      <c r="L82" s="2" t="s">
        <v>14</v>
      </c>
      <c r="M82" s="2" t="s">
        <v>14</v>
      </c>
      <c r="N82" s="4">
        <v>1</v>
      </c>
    </row>
    <row r="83" spans="1:14" x14ac:dyDescent="0.25">
      <c r="A83" s="1">
        <v>82</v>
      </c>
      <c r="B83" s="2" t="s">
        <v>2</v>
      </c>
      <c r="C83" s="4">
        <v>180</v>
      </c>
      <c r="D83" s="4">
        <v>70</v>
      </c>
      <c r="E83" s="2" t="s">
        <v>5</v>
      </c>
      <c r="F83" s="4">
        <v>3</v>
      </c>
      <c r="G83" s="2" t="s">
        <v>8</v>
      </c>
      <c r="H83" s="2" t="s">
        <v>13</v>
      </c>
      <c r="I83" s="4">
        <v>6.7</v>
      </c>
      <c r="J83" s="4">
        <v>7</v>
      </c>
      <c r="K83" s="2" t="s">
        <v>14</v>
      </c>
      <c r="L83" s="2" t="s">
        <v>14</v>
      </c>
      <c r="M83" s="2" t="s">
        <v>14</v>
      </c>
      <c r="N83" s="4">
        <v>30</v>
      </c>
    </row>
    <row r="84" spans="1:14" x14ac:dyDescent="0.25">
      <c r="A84" s="1">
        <v>83</v>
      </c>
      <c r="B84" s="2" t="s">
        <v>1</v>
      </c>
      <c r="C84" s="7">
        <v>1.62</v>
      </c>
      <c r="D84" s="4">
        <v>56</v>
      </c>
      <c r="E84" s="2" t="s">
        <v>5</v>
      </c>
      <c r="F84" s="4">
        <v>3</v>
      </c>
      <c r="G84" s="2" t="s">
        <v>8</v>
      </c>
      <c r="H84" s="2" t="s">
        <v>12</v>
      </c>
      <c r="I84" s="4">
        <v>5.6</v>
      </c>
      <c r="J84" s="4">
        <v>6.7</v>
      </c>
      <c r="K84" s="2" t="s">
        <v>14</v>
      </c>
      <c r="L84" s="2" t="s">
        <v>14</v>
      </c>
      <c r="M84" s="2" t="s">
        <v>14</v>
      </c>
      <c r="N84" s="4">
        <v>7</v>
      </c>
    </row>
    <row r="85" spans="1:14" x14ac:dyDescent="0.25">
      <c r="A85" s="1">
        <v>84</v>
      </c>
      <c r="B85" s="2" t="s">
        <v>2</v>
      </c>
      <c r="C85" s="4">
        <v>186</v>
      </c>
      <c r="D85" s="4">
        <v>90</v>
      </c>
      <c r="E85" s="2" t="s">
        <v>7</v>
      </c>
      <c r="F85" s="4">
        <v>2</v>
      </c>
      <c r="G85" s="2" t="s">
        <v>9</v>
      </c>
      <c r="H85" s="2" t="s">
        <v>13</v>
      </c>
      <c r="I85" s="4">
        <v>7.6</v>
      </c>
      <c r="J85" s="4">
        <v>9</v>
      </c>
      <c r="K85" s="2" t="s">
        <v>14</v>
      </c>
      <c r="L85" s="2" t="s">
        <v>14</v>
      </c>
      <c r="M85" s="2" t="s">
        <v>14</v>
      </c>
      <c r="N85" s="4">
        <v>8</v>
      </c>
    </row>
    <row r="86" spans="1:14" x14ac:dyDescent="0.25">
      <c r="A86" s="1">
        <v>85</v>
      </c>
      <c r="B86" s="2" t="s">
        <v>1</v>
      </c>
      <c r="C86" s="4">
        <v>168</v>
      </c>
      <c r="D86" s="4">
        <v>55</v>
      </c>
      <c r="E86" s="2" t="s">
        <v>3</v>
      </c>
      <c r="F86" s="4">
        <v>1</v>
      </c>
      <c r="G86" s="2" t="s">
        <v>10</v>
      </c>
      <c r="H86" s="2" t="s">
        <v>12</v>
      </c>
      <c r="I86" s="4">
        <v>6.8</v>
      </c>
      <c r="J86" s="4">
        <v>8.1999999999999993</v>
      </c>
      <c r="K86" s="2" t="s">
        <v>14</v>
      </c>
      <c r="L86" s="2" t="s">
        <v>15</v>
      </c>
      <c r="M86" s="2" t="s">
        <v>14</v>
      </c>
      <c r="N86" s="4">
        <v>5</v>
      </c>
    </row>
    <row r="87" spans="1:14" x14ac:dyDescent="0.25">
      <c r="A87" s="1">
        <v>86</v>
      </c>
      <c r="B87" s="2" t="s">
        <v>2</v>
      </c>
      <c r="C87" s="4">
        <v>181</v>
      </c>
      <c r="D87" s="4">
        <v>75</v>
      </c>
      <c r="E87" s="2" t="s">
        <v>5</v>
      </c>
      <c r="F87" s="4">
        <v>3</v>
      </c>
      <c r="G87" s="2" t="s">
        <v>8</v>
      </c>
      <c r="H87" s="2" t="s">
        <v>13</v>
      </c>
      <c r="I87" s="4">
        <v>6.8</v>
      </c>
      <c r="J87" s="4">
        <v>8.6999999999999993</v>
      </c>
      <c r="K87" s="2" t="s">
        <v>14</v>
      </c>
      <c r="L87" s="2" t="s">
        <v>14</v>
      </c>
      <c r="M87" s="2" t="s">
        <v>14</v>
      </c>
      <c r="N87" s="4">
        <v>14</v>
      </c>
    </row>
    <row r="88" spans="1:14" x14ac:dyDescent="0.25">
      <c r="A88" s="1">
        <v>87</v>
      </c>
      <c r="B88" s="2" t="s">
        <v>2</v>
      </c>
      <c r="C88" s="4">
        <v>158</v>
      </c>
      <c r="D88" s="4">
        <v>60</v>
      </c>
      <c r="E88" s="2" t="s">
        <v>4</v>
      </c>
      <c r="F88" s="4">
        <v>1</v>
      </c>
      <c r="G88" s="2" t="s">
        <v>10</v>
      </c>
      <c r="H88" s="2" t="s">
        <v>12</v>
      </c>
      <c r="I88" s="4">
        <v>6</v>
      </c>
      <c r="J88" s="4">
        <v>7</v>
      </c>
      <c r="K88" s="2" t="s">
        <v>14</v>
      </c>
      <c r="L88" s="2" t="s">
        <v>14</v>
      </c>
      <c r="M88" s="2" t="s">
        <v>14</v>
      </c>
      <c r="N88" s="4">
        <v>5</v>
      </c>
    </row>
    <row r="89" spans="1:14" x14ac:dyDescent="0.25">
      <c r="A89" s="1">
        <v>88</v>
      </c>
      <c r="B89" s="2" t="s">
        <v>2</v>
      </c>
      <c r="C89" s="7">
        <v>1.78</v>
      </c>
      <c r="D89" s="4">
        <v>70</v>
      </c>
      <c r="E89" s="2" t="s">
        <v>5</v>
      </c>
      <c r="F89" s="4">
        <v>2</v>
      </c>
      <c r="G89" s="2" t="s">
        <v>8</v>
      </c>
      <c r="H89" s="2" t="s">
        <v>12</v>
      </c>
      <c r="I89" s="4">
        <v>5.7</v>
      </c>
      <c r="J89" s="4">
        <v>5.5</v>
      </c>
      <c r="K89" s="2" t="s">
        <v>15</v>
      </c>
      <c r="L89" s="2" t="s">
        <v>14</v>
      </c>
      <c r="M89" s="2" t="s">
        <v>14</v>
      </c>
      <c r="N89" s="4">
        <v>12</v>
      </c>
    </row>
    <row r="90" spans="1:14" x14ac:dyDescent="0.25">
      <c r="A90" s="1">
        <v>89</v>
      </c>
      <c r="B90" s="2" t="s">
        <v>2</v>
      </c>
      <c r="C90" s="4">
        <v>175</v>
      </c>
      <c r="D90" s="4">
        <v>72</v>
      </c>
      <c r="E90" s="2" t="s">
        <v>6</v>
      </c>
      <c r="F90" s="4">
        <v>2</v>
      </c>
      <c r="G90" s="2" t="s">
        <v>8</v>
      </c>
      <c r="H90" s="2" t="s">
        <v>13</v>
      </c>
      <c r="I90" s="4">
        <v>7</v>
      </c>
      <c r="J90" s="4">
        <v>7.03</v>
      </c>
      <c r="K90" s="2" t="s">
        <v>14</v>
      </c>
      <c r="L90" s="2" t="s">
        <v>14</v>
      </c>
      <c r="M90" s="2" t="s">
        <v>14</v>
      </c>
      <c r="N90" s="4">
        <v>2</v>
      </c>
    </row>
    <row r="91" spans="1:14" x14ac:dyDescent="0.25">
      <c r="A91" s="1">
        <v>90</v>
      </c>
      <c r="B91" s="2" t="s">
        <v>1</v>
      </c>
      <c r="C91" s="4">
        <v>162</v>
      </c>
      <c r="D91" s="4">
        <v>44</v>
      </c>
      <c r="E91" s="2" t="s">
        <v>6</v>
      </c>
      <c r="F91" s="4">
        <v>2</v>
      </c>
      <c r="G91" s="2" t="s">
        <v>9</v>
      </c>
      <c r="H91" s="2" t="s">
        <v>12</v>
      </c>
      <c r="I91" s="4">
        <v>6.7</v>
      </c>
      <c r="J91" s="4">
        <v>7.3</v>
      </c>
      <c r="K91" s="2" t="s">
        <v>14</v>
      </c>
      <c r="L91" s="2" t="s">
        <v>14</v>
      </c>
      <c r="M91" s="2" t="s">
        <v>14</v>
      </c>
      <c r="N91" s="4">
        <v>70</v>
      </c>
    </row>
    <row r="92" spans="1:14" x14ac:dyDescent="0.25">
      <c r="A92" s="1">
        <v>91</v>
      </c>
      <c r="B92" s="2" t="s">
        <v>1</v>
      </c>
      <c r="C92" s="4">
        <v>158</v>
      </c>
      <c r="D92" s="4">
        <v>51</v>
      </c>
      <c r="E92" s="2" t="s">
        <v>4</v>
      </c>
      <c r="F92" s="4">
        <v>3</v>
      </c>
      <c r="G92" s="2" t="s">
        <v>11</v>
      </c>
      <c r="H92" s="2" t="s">
        <v>13</v>
      </c>
      <c r="I92" s="4">
        <v>5.6</v>
      </c>
      <c r="J92" s="4">
        <v>6.73</v>
      </c>
      <c r="K92" s="2" t="s">
        <v>14</v>
      </c>
      <c r="L92" s="2" t="s">
        <v>14</v>
      </c>
      <c r="M92" s="2" t="s">
        <v>14</v>
      </c>
      <c r="N92" s="4">
        <v>20</v>
      </c>
    </row>
    <row r="93" spans="1:14" x14ac:dyDescent="0.25">
      <c r="A93" s="1">
        <v>92</v>
      </c>
      <c r="B93" s="6"/>
      <c r="C93" s="4">
        <v>176</v>
      </c>
      <c r="D93" s="4">
        <v>60</v>
      </c>
      <c r="E93" s="2" t="s">
        <v>6</v>
      </c>
      <c r="F93" s="4">
        <v>1</v>
      </c>
      <c r="G93" s="2" t="s">
        <v>8</v>
      </c>
      <c r="H93" s="2" t="s">
        <v>13</v>
      </c>
      <c r="I93" s="4">
        <v>6.5</v>
      </c>
      <c r="J93" s="4">
        <v>6.1</v>
      </c>
      <c r="K93" s="2" t="s">
        <v>14</v>
      </c>
      <c r="L93" s="2" t="s">
        <v>15</v>
      </c>
      <c r="M93" s="2" t="s">
        <v>14</v>
      </c>
      <c r="N93" s="4">
        <v>30</v>
      </c>
    </row>
    <row r="94" spans="1:14" x14ac:dyDescent="0.25">
      <c r="A94" s="1">
        <v>93</v>
      </c>
      <c r="B94" s="2" t="s">
        <v>1</v>
      </c>
      <c r="C94" s="7">
        <v>1.72</v>
      </c>
      <c r="D94" s="4">
        <v>63</v>
      </c>
      <c r="E94" s="2" t="s">
        <v>4</v>
      </c>
      <c r="F94" s="4">
        <v>2</v>
      </c>
      <c r="G94" s="2" t="s">
        <v>10</v>
      </c>
      <c r="H94" s="2" t="s">
        <v>12</v>
      </c>
      <c r="I94" s="4">
        <v>8.5</v>
      </c>
      <c r="J94" s="4">
        <v>8.4</v>
      </c>
      <c r="K94" s="2" t="s">
        <v>14</v>
      </c>
      <c r="L94" s="2" t="s">
        <v>14</v>
      </c>
      <c r="M94" s="2" t="s">
        <v>14</v>
      </c>
      <c r="N94" s="4">
        <v>5</v>
      </c>
    </row>
    <row r="95" spans="1:14" x14ac:dyDescent="0.25">
      <c r="A95" s="1">
        <v>94</v>
      </c>
      <c r="B95" s="2" t="s">
        <v>2</v>
      </c>
      <c r="C95" s="4">
        <v>180</v>
      </c>
      <c r="D95" s="4">
        <v>63</v>
      </c>
      <c r="E95" s="2" t="s">
        <v>5</v>
      </c>
      <c r="F95" s="4">
        <v>3</v>
      </c>
      <c r="G95" s="2" t="s">
        <v>8</v>
      </c>
      <c r="H95" s="2" t="s">
        <v>13</v>
      </c>
      <c r="I95" s="4">
        <v>6.9</v>
      </c>
      <c r="J95" s="5">
        <v>0</v>
      </c>
      <c r="K95" s="2" t="s">
        <v>14</v>
      </c>
      <c r="L95" s="2" t="s">
        <v>14</v>
      </c>
      <c r="M95" s="2" t="s">
        <v>14</v>
      </c>
      <c r="N95" s="4">
        <v>50</v>
      </c>
    </row>
    <row r="96" spans="1:14" x14ac:dyDescent="0.25">
      <c r="A96" s="1">
        <v>95</v>
      </c>
      <c r="B96" s="2" t="s">
        <v>1</v>
      </c>
      <c r="C96" s="4">
        <v>171</v>
      </c>
      <c r="D96" s="4">
        <v>62</v>
      </c>
      <c r="E96" s="2" t="s">
        <v>4</v>
      </c>
      <c r="F96" s="4">
        <v>2</v>
      </c>
      <c r="G96" s="2" t="s">
        <v>8</v>
      </c>
      <c r="H96" s="2" t="s">
        <v>13</v>
      </c>
      <c r="I96" s="4">
        <v>5.8</v>
      </c>
      <c r="J96" s="4">
        <v>5.8</v>
      </c>
      <c r="K96" s="2" t="s">
        <v>14</v>
      </c>
      <c r="L96" s="2" t="s">
        <v>14</v>
      </c>
      <c r="M96" s="2" t="s">
        <v>14</v>
      </c>
      <c r="N96" s="4">
        <v>4</v>
      </c>
    </row>
    <row r="97" spans="1:14" x14ac:dyDescent="0.25">
      <c r="A97" s="1">
        <v>96</v>
      </c>
      <c r="B97" s="2" t="s">
        <v>1</v>
      </c>
      <c r="C97" s="4">
        <v>165</v>
      </c>
      <c r="D97" s="4">
        <v>54</v>
      </c>
      <c r="E97" s="2" t="s">
        <v>6</v>
      </c>
      <c r="F97" s="4">
        <v>1</v>
      </c>
      <c r="G97" s="2" t="s">
        <v>8</v>
      </c>
      <c r="H97" s="2" t="s">
        <v>13</v>
      </c>
      <c r="I97" s="4">
        <v>5.6</v>
      </c>
      <c r="J97" s="4">
        <v>6.2</v>
      </c>
      <c r="K97" s="2" t="s">
        <v>14</v>
      </c>
      <c r="L97" s="2" t="s">
        <v>14</v>
      </c>
      <c r="M97" s="2" t="s">
        <v>14</v>
      </c>
      <c r="N97" s="4">
        <v>12</v>
      </c>
    </row>
    <row r="98" spans="1:14" x14ac:dyDescent="0.25">
      <c r="A98" s="1">
        <v>97</v>
      </c>
      <c r="B98" s="2" t="s">
        <v>2</v>
      </c>
      <c r="C98" s="4">
        <v>182</v>
      </c>
      <c r="D98" s="4">
        <v>65</v>
      </c>
      <c r="E98" s="2" t="s">
        <v>5</v>
      </c>
      <c r="F98" s="4">
        <v>2</v>
      </c>
      <c r="G98" s="2" t="s">
        <v>8</v>
      </c>
      <c r="H98" s="2" t="s">
        <v>13</v>
      </c>
      <c r="I98" s="4">
        <v>9.1</v>
      </c>
      <c r="J98" s="4">
        <v>10.1</v>
      </c>
      <c r="K98" s="2" t="s">
        <v>14</v>
      </c>
      <c r="L98" s="2" t="s">
        <v>14</v>
      </c>
      <c r="M98" s="2" t="s">
        <v>14</v>
      </c>
      <c r="N98" s="4">
        <v>5</v>
      </c>
    </row>
    <row r="99" spans="1:14" x14ac:dyDescent="0.25">
      <c r="A99" s="1">
        <v>98</v>
      </c>
      <c r="B99" s="2" t="s">
        <v>1</v>
      </c>
      <c r="C99" s="4">
        <v>165</v>
      </c>
      <c r="D99" s="4">
        <v>65</v>
      </c>
      <c r="E99" s="2" t="s">
        <v>4</v>
      </c>
      <c r="F99" s="4">
        <v>1</v>
      </c>
      <c r="G99" s="2" t="s">
        <v>9</v>
      </c>
      <c r="H99" s="2" t="s">
        <v>13</v>
      </c>
      <c r="I99" s="4">
        <v>7.8</v>
      </c>
      <c r="J99" s="4">
        <v>9.8000000000000007</v>
      </c>
      <c r="K99" s="2" t="s">
        <v>14</v>
      </c>
      <c r="L99" s="2" t="s">
        <v>14</v>
      </c>
      <c r="M99" s="2" t="s">
        <v>14</v>
      </c>
      <c r="N99" s="4">
        <v>70</v>
      </c>
    </row>
    <row r="100" spans="1:14" x14ac:dyDescent="0.25">
      <c r="A100" s="1">
        <v>99</v>
      </c>
      <c r="B100" s="2" t="s">
        <v>1</v>
      </c>
      <c r="C100" s="7">
        <v>1.65</v>
      </c>
      <c r="D100" s="4">
        <v>57</v>
      </c>
      <c r="E100" s="2" t="s">
        <v>4</v>
      </c>
      <c r="F100" s="4">
        <v>2</v>
      </c>
      <c r="G100" s="2" t="s">
        <v>10</v>
      </c>
      <c r="H100" s="2" t="s">
        <v>12</v>
      </c>
      <c r="I100" s="4">
        <v>8.25</v>
      </c>
      <c r="J100" s="4">
        <v>11.016999999999999</v>
      </c>
      <c r="K100" s="2" t="s">
        <v>14</v>
      </c>
      <c r="L100" s="2" t="s">
        <v>14</v>
      </c>
      <c r="M100" s="2" t="s">
        <v>14</v>
      </c>
      <c r="N100" s="4">
        <v>35</v>
      </c>
    </row>
    <row r="101" spans="1:14" x14ac:dyDescent="0.25">
      <c r="A101" s="1">
        <v>100</v>
      </c>
      <c r="B101" s="2" t="s">
        <v>2</v>
      </c>
      <c r="C101" s="4">
        <v>185</v>
      </c>
      <c r="D101" s="4">
        <v>57</v>
      </c>
      <c r="E101" s="2" t="s">
        <v>5</v>
      </c>
      <c r="F101" s="4">
        <v>2</v>
      </c>
      <c r="G101" s="2" t="s">
        <v>8</v>
      </c>
      <c r="H101" s="2" t="s">
        <v>12</v>
      </c>
      <c r="I101" s="4">
        <v>8</v>
      </c>
      <c r="J101" s="4">
        <v>8</v>
      </c>
      <c r="K101" s="2" t="s">
        <v>14</v>
      </c>
      <c r="L101" s="2" t="s">
        <v>14</v>
      </c>
      <c r="M101" s="2" t="s">
        <v>15</v>
      </c>
      <c r="N101" s="4">
        <v>0</v>
      </c>
    </row>
    <row r="102" spans="1:14" x14ac:dyDescent="0.25">
      <c r="A102" s="1">
        <v>101</v>
      </c>
      <c r="B102" s="2" t="s">
        <v>1</v>
      </c>
      <c r="C102" s="4">
        <v>165</v>
      </c>
      <c r="D102" s="4">
        <v>50</v>
      </c>
      <c r="E102" s="2" t="s">
        <v>5</v>
      </c>
      <c r="F102" s="4">
        <v>2</v>
      </c>
      <c r="G102" s="2" t="s">
        <v>8</v>
      </c>
      <c r="H102" s="2" t="s">
        <v>13</v>
      </c>
      <c r="I102" s="4">
        <v>9.6999999999999993</v>
      </c>
      <c r="J102" s="4">
        <v>12.8</v>
      </c>
      <c r="K102" s="2" t="s">
        <v>14</v>
      </c>
      <c r="L102" s="2" t="s">
        <v>14</v>
      </c>
      <c r="M102" s="2" t="s">
        <v>14</v>
      </c>
      <c r="N102" s="4">
        <v>12</v>
      </c>
    </row>
    <row r="103" spans="1:14" x14ac:dyDescent="0.25">
      <c r="A103" s="1">
        <v>102</v>
      </c>
      <c r="B103" s="2" t="s">
        <v>1</v>
      </c>
      <c r="C103" s="4">
        <v>173</v>
      </c>
      <c r="D103" s="4">
        <v>67</v>
      </c>
      <c r="E103" s="2" t="s">
        <v>5</v>
      </c>
      <c r="F103" s="4">
        <v>2</v>
      </c>
      <c r="G103" s="2" t="s">
        <v>11</v>
      </c>
      <c r="H103" s="2" t="s">
        <v>12</v>
      </c>
      <c r="I103" s="4">
        <v>7.2</v>
      </c>
      <c r="J103" s="4">
        <v>6.2</v>
      </c>
      <c r="K103" s="2" t="s">
        <v>14</v>
      </c>
      <c r="L103" s="2" t="s">
        <v>14</v>
      </c>
      <c r="M103" s="2" t="s">
        <v>14</v>
      </c>
      <c r="N103" s="4">
        <v>50</v>
      </c>
    </row>
    <row r="104" spans="1:14" x14ac:dyDescent="0.25">
      <c r="A104" s="1">
        <v>103</v>
      </c>
      <c r="B104" s="2" t="s">
        <v>2</v>
      </c>
      <c r="C104" s="4">
        <v>170</v>
      </c>
      <c r="D104" s="4">
        <v>72</v>
      </c>
      <c r="E104" s="2" t="s">
        <v>6</v>
      </c>
      <c r="F104" s="4">
        <v>3</v>
      </c>
      <c r="G104" s="2" t="s">
        <v>8</v>
      </c>
      <c r="H104" s="2" t="s">
        <v>13</v>
      </c>
      <c r="I104" s="4">
        <v>7</v>
      </c>
      <c r="J104" s="4">
        <v>10</v>
      </c>
      <c r="K104" s="2" t="s">
        <v>14</v>
      </c>
      <c r="L104" s="2" t="s">
        <v>14</v>
      </c>
      <c r="M104" s="2" t="s">
        <v>15</v>
      </c>
      <c r="N104" s="4">
        <v>0</v>
      </c>
    </row>
    <row r="105" spans="1:14" x14ac:dyDescent="0.25">
      <c r="A105" s="1">
        <v>104</v>
      </c>
      <c r="B105" s="2" t="s">
        <v>2</v>
      </c>
      <c r="C105" s="4">
        <v>189</v>
      </c>
      <c r="D105" s="4">
        <v>79</v>
      </c>
      <c r="E105" s="2" t="s">
        <v>5</v>
      </c>
      <c r="F105" s="4">
        <v>2</v>
      </c>
      <c r="G105" s="2" t="s">
        <v>8</v>
      </c>
      <c r="H105" s="2" t="s">
        <v>13</v>
      </c>
      <c r="I105" s="4">
        <v>6.2</v>
      </c>
      <c r="J105" s="4">
        <v>7.3</v>
      </c>
      <c r="K105" s="2" t="s">
        <v>14</v>
      </c>
      <c r="L105" s="2" t="s">
        <v>14</v>
      </c>
      <c r="M105" s="2" t="s">
        <v>14</v>
      </c>
      <c r="N105" s="4">
        <v>6</v>
      </c>
    </row>
    <row r="106" spans="1:14" x14ac:dyDescent="0.25">
      <c r="A106" s="1">
        <v>105</v>
      </c>
      <c r="B106" s="2" t="s">
        <v>2</v>
      </c>
      <c r="C106" s="4">
        <v>170</v>
      </c>
      <c r="D106" s="4">
        <v>64</v>
      </c>
      <c r="E106" s="2" t="s">
        <v>6</v>
      </c>
      <c r="F106" s="4">
        <v>3</v>
      </c>
      <c r="G106" s="2" t="s">
        <v>11</v>
      </c>
      <c r="H106" s="2" t="s">
        <v>12</v>
      </c>
      <c r="I106" s="4">
        <v>8</v>
      </c>
      <c r="J106" s="4">
        <v>8</v>
      </c>
      <c r="K106" s="2" t="s">
        <v>14</v>
      </c>
      <c r="L106" s="2" t="s">
        <v>14</v>
      </c>
      <c r="M106" s="2" t="s">
        <v>14</v>
      </c>
      <c r="N106" s="4">
        <v>5</v>
      </c>
    </row>
    <row r="107" spans="1:14" x14ac:dyDescent="0.25">
      <c r="A107" s="1">
        <v>106</v>
      </c>
      <c r="B107" s="2" t="s">
        <v>2</v>
      </c>
      <c r="C107" s="4">
        <v>185</v>
      </c>
      <c r="D107" s="4">
        <v>95</v>
      </c>
      <c r="E107" s="2" t="s">
        <v>6</v>
      </c>
      <c r="F107" s="4">
        <v>2</v>
      </c>
      <c r="G107" s="2" t="s">
        <v>11</v>
      </c>
      <c r="H107" s="2" t="s">
        <v>12</v>
      </c>
      <c r="I107" s="4">
        <v>6</v>
      </c>
      <c r="J107" s="4">
        <v>8</v>
      </c>
      <c r="K107" s="2" t="s">
        <v>14</v>
      </c>
      <c r="L107" s="2" t="s">
        <v>14</v>
      </c>
      <c r="M107" s="2" t="s">
        <v>14</v>
      </c>
      <c r="N107" s="4">
        <v>10</v>
      </c>
    </row>
    <row r="108" spans="1:14" x14ac:dyDescent="0.25">
      <c r="A108" s="1">
        <v>107</v>
      </c>
      <c r="B108" s="2" t="s">
        <v>1</v>
      </c>
      <c r="C108" s="4">
        <v>165</v>
      </c>
      <c r="D108" s="4">
        <v>58</v>
      </c>
      <c r="E108" s="2" t="s">
        <v>4</v>
      </c>
      <c r="F108" s="4">
        <v>2</v>
      </c>
      <c r="G108" s="2" t="s">
        <v>8</v>
      </c>
      <c r="H108" s="2" t="s">
        <v>13</v>
      </c>
      <c r="I108" s="4">
        <v>9</v>
      </c>
      <c r="J108" s="4">
        <v>11.141</v>
      </c>
      <c r="K108" s="2" t="s">
        <v>14</v>
      </c>
      <c r="L108" s="2" t="s">
        <v>14</v>
      </c>
      <c r="M108" s="2" t="s">
        <v>14</v>
      </c>
      <c r="N108" s="4">
        <v>70</v>
      </c>
    </row>
    <row r="109" spans="1:14" x14ac:dyDescent="0.25">
      <c r="A109" s="1">
        <v>108</v>
      </c>
      <c r="B109" s="2" t="s">
        <v>2</v>
      </c>
      <c r="C109" s="4">
        <v>189</v>
      </c>
      <c r="D109" s="4">
        <v>83</v>
      </c>
      <c r="E109" s="2" t="s">
        <v>5</v>
      </c>
      <c r="F109" s="5">
        <v>0</v>
      </c>
      <c r="G109" s="2" t="s">
        <v>11</v>
      </c>
      <c r="H109" s="2" t="s">
        <v>12</v>
      </c>
      <c r="I109" s="4">
        <v>8.1</v>
      </c>
      <c r="J109" s="4">
        <v>11.8</v>
      </c>
      <c r="K109" s="2" t="s">
        <v>14</v>
      </c>
      <c r="L109" s="2" t="s">
        <v>14</v>
      </c>
      <c r="M109" s="2" t="s">
        <v>14</v>
      </c>
      <c r="N109" s="4">
        <v>20</v>
      </c>
    </row>
    <row r="110" spans="1:14" x14ac:dyDescent="0.25">
      <c r="A110" s="1">
        <v>109</v>
      </c>
      <c r="B110" s="2" t="s">
        <v>2</v>
      </c>
      <c r="C110" s="4">
        <v>180</v>
      </c>
      <c r="D110" s="4">
        <v>75</v>
      </c>
      <c r="E110" s="2" t="s">
        <v>6</v>
      </c>
      <c r="F110" s="4">
        <v>2</v>
      </c>
      <c r="G110" s="2" t="s">
        <v>9</v>
      </c>
      <c r="H110" s="2" t="s">
        <v>12</v>
      </c>
      <c r="I110" s="4">
        <v>5.5</v>
      </c>
      <c r="J110" s="4">
        <v>6.9</v>
      </c>
      <c r="K110" s="2" t="s">
        <v>14</v>
      </c>
      <c r="L110" s="2" t="s">
        <v>14</v>
      </c>
      <c r="M110" s="2" t="s">
        <v>14</v>
      </c>
      <c r="N110" s="4">
        <v>8</v>
      </c>
    </row>
    <row r="111" spans="1:14" x14ac:dyDescent="0.25">
      <c r="A111" s="1">
        <v>110</v>
      </c>
      <c r="B111" s="2" t="s">
        <v>2</v>
      </c>
      <c r="C111" s="4">
        <v>192</v>
      </c>
      <c r="D111" s="4">
        <v>83</v>
      </c>
      <c r="E111" s="2" t="s">
        <v>7</v>
      </c>
      <c r="F111" s="4">
        <v>2</v>
      </c>
      <c r="G111" s="2" t="s">
        <v>8</v>
      </c>
      <c r="H111" s="2" t="s">
        <v>13</v>
      </c>
      <c r="I111" s="4">
        <v>6</v>
      </c>
      <c r="J111" s="4">
        <v>5.2</v>
      </c>
      <c r="K111" s="6"/>
      <c r="L111" s="2" t="s">
        <v>14</v>
      </c>
      <c r="M111" s="2" t="s">
        <v>14</v>
      </c>
      <c r="N111" s="4">
        <v>15</v>
      </c>
    </row>
    <row r="112" spans="1:14" x14ac:dyDescent="0.25">
      <c r="A112" s="1">
        <v>111</v>
      </c>
      <c r="B112" s="2" t="s">
        <v>2</v>
      </c>
      <c r="C112" s="4">
        <v>193</v>
      </c>
      <c r="D112" s="4">
        <v>85</v>
      </c>
      <c r="E112" s="2" t="s">
        <v>5</v>
      </c>
      <c r="F112" s="4">
        <v>3</v>
      </c>
      <c r="G112" s="2" t="s">
        <v>11</v>
      </c>
      <c r="H112" s="6"/>
      <c r="I112" s="4">
        <v>6.3</v>
      </c>
      <c r="J112" s="4">
        <v>9.1999999999999993</v>
      </c>
      <c r="K112" s="2" t="s">
        <v>14</v>
      </c>
      <c r="L112" s="2" t="s">
        <v>14</v>
      </c>
      <c r="M112" s="2" t="s">
        <v>14</v>
      </c>
      <c r="N112" s="4">
        <v>10</v>
      </c>
    </row>
    <row r="113" spans="1:14" x14ac:dyDescent="0.25">
      <c r="A113" s="1">
        <v>112</v>
      </c>
      <c r="B113" s="2" t="s">
        <v>1</v>
      </c>
      <c r="C113" s="4">
        <v>165</v>
      </c>
      <c r="D113" s="4">
        <v>56</v>
      </c>
      <c r="E113" s="2" t="s">
        <v>4</v>
      </c>
      <c r="F113" s="4">
        <v>2</v>
      </c>
      <c r="G113" s="2" t="s">
        <v>10</v>
      </c>
      <c r="H113" s="2" t="s">
        <v>12</v>
      </c>
      <c r="I113" s="4">
        <v>8.1</v>
      </c>
      <c r="J113" s="4">
        <v>11.2</v>
      </c>
      <c r="K113" s="2" t="s">
        <v>14</v>
      </c>
      <c r="L113" s="2" t="s">
        <v>14</v>
      </c>
      <c r="M113" s="2" t="s">
        <v>14</v>
      </c>
      <c r="N113" s="4">
        <v>5</v>
      </c>
    </row>
    <row r="114" spans="1:14" x14ac:dyDescent="0.25">
      <c r="A114" s="1">
        <v>113</v>
      </c>
      <c r="B114" s="2" t="s">
        <v>2</v>
      </c>
      <c r="C114" s="4">
        <v>170</v>
      </c>
      <c r="D114" s="4">
        <v>60</v>
      </c>
      <c r="E114" s="2" t="s">
        <v>5</v>
      </c>
      <c r="F114" s="4">
        <v>2</v>
      </c>
      <c r="G114" s="2" t="s">
        <v>9</v>
      </c>
      <c r="H114" s="2" t="s">
        <v>12</v>
      </c>
      <c r="I114" s="4">
        <v>6.6</v>
      </c>
      <c r="J114" s="4">
        <v>10.016999999999999</v>
      </c>
      <c r="K114" s="2" t="s">
        <v>14</v>
      </c>
      <c r="L114" s="2" t="s">
        <v>14</v>
      </c>
      <c r="M114" s="2" t="s">
        <v>14</v>
      </c>
      <c r="N114" s="4">
        <v>5</v>
      </c>
    </row>
    <row r="115" spans="1:14" x14ac:dyDescent="0.25">
      <c r="A115" s="1">
        <v>114</v>
      </c>
      <c r="B115" s="2" t="s">
        <v>1</v>
      </c>
      <c r="C115" s="4">
        <v>167</v>
      </c>
      <c r="D115" s="4">
        <v>59</v>
      </c>
      <c r="E115" s="2" t="s">
        <v>4</v>
      </c>
      <c r="F115" s="4">
        <v>2</v>
      </c>
      <c r="G115" s="2" t="s">
        <v>11</v>
      </c>
      <c r="H115" s="2" t="s">
        <v>12</v>
      </c>
      <c r="I115" s="4">
        <v>5.9</v>
      </c>
      <c r="J115" s="4">
        <v>6.2</v>
      </c>
      <c r="K115" s="2" t="s">
        <v>14</v>
      </c>
      <c r="L115" s="2" t="s">
        <v>14</v>
      </c>
      <c r="M115" s="2" t="s">
        <v>14</v>
      </c>
      <c r="N115" s="4">
        <v>1</v>
      </c>
    </row>
    <row r="116" spans="1:14" x14ac:dyDescent="0.25">
      <c r="A116" s="1">
        <v>115</v>
      </c>
      <c r="B116" s="2" t="s">
        <v>2</v>
      </c>
      <c r="C116" s="4">
        <v>170</v>
      </c>
      <c r="D116" s="4">
        <v>90</v>
      </c>
      <c r="E116" s="2" t="s">
        <v>4</v>
      </c>
      <c r="F116" s="4">
        <v>2</v>
      </c>
      <c r="G116" s="2" t="s">
        <v>8</v>
      </c>
      <c r="H116" s="2" t="s">
        <v>13</v>
      </c>
      <c r="I116" s="4">
        <v>6.5</v>
      </c>
      <c r="J116" s="4">
        <v>6.5</v>
      </c>
      <c r="K116" s="2" t="s">
        <v>14</v>
      </c>
      <c r="L116" s="2" t="s">
        <v>14</v>
      </c>
      <c r="M116" s="2" t="s">
        <v>14</v>
      </c>
      <c r="N116" s="4">
        <v>1</v>
      </c>
    </row>
    <row r="117" spans="1:14" x14ac:dyDescent="0.25">
      <c r="A117" s="1">
        <v>116</v>
      </c>
      <c r="B117" s="2" t="s">
        <v>2</v>
      </c>
      <c r="C117" s="4">
        <v>168</v>
      </c>
      <c r="D117" s="4">
        <v>58</v>
      </c>
      <c r="E117" s="2" t="s">
        <v>5</v>
      </c>
      <c r="F117" s="4">
        <v>2</v>
      </c>
      <c r="G117" s="2" t="s">
        <v>8</v>
      </c>
      <c r="H117" s="2" t="s">
        <v>13</v>
      </c>
      <c r="I117" s="4">
        <v>6</v>
      </c>
      <c r="J117" s="4">
        <v>5</v>
      </c>
      <c r="K117" s="2" t="s">
        <v>14</v>
      </c>
      <c r="L117" s="2" t="s">
        <v>14</v>
      </c>
      <c r="M117" s="2" t="s">
        <v>14</v>
      </c>
      <c r="N117" s="4">
        <v>10</v>
      </c>
    </row>
    <row r="118" spans="1:14" x14ac:dyDescent="0.25">
      <c r="A118" s="1">
        <v>117</v>
      </c>
      <c r="B118" s="2" t="s">
        <v>1</v>
      </c>
      <c r="C118" s="4">
        <v>169</v>
      </c>
      <c r="D118" s="4">
        <v>51</v>
      </c>
      <c r="E118" s="2" t="s">
        <v>4</v>
      </c>
      <c r="F118" s="5">
        <v>0</v>
      </c>
      <c r="G118" s="2" t="s">
        <v>10</v>
      </c>
      <c r="H118" s="2" t="s">
        <v>12</v>
      </c>
      <c r="I118" s="4">
        <v>5.8</v>
      </c>
      <c r="J118" s="4">
        <v>5.2</v>
      </c>
      <c r="K118" s="2" t="s">
        <v>14</v>
      </c>
      <c r="L118" s="2" t="s">
        <v>14</v>
      </c>
      <c r="M118" s="2" t="s">
        <v>14</v>
      </c>
      <c r="N118" s="4">
        <v>10</v>
      </c>
    </row>
    <row r="119" spans="1:14" x14ac:dyDescent="0.25">
      <c r="A119" s="1">
        <v>118</v>
      </c>
      <c r="B119" s="2" t="s">
        <v>1</v>
      </c>
      <c r="C119" s="4">
        <v>170</v>
      </c>
      <c r="D119" s="4">
        <v>70</v>
      </c>
      <c r="E119" s="2" t="s">
        <v>4</v>
      </c>
      <c r="F119" s="4">
        <v>2</v>
      </c>
      <c r="G119" s="2" t="s">
        <v>8</v>
      </c>
      <c r="H119" s="2" t="s">
        <v>12</v>
      </c>
      <c r="I119" s="4">
        <v>7.5</v>
      </c>
      <c r="J119" s="4">
        <v>10.5</v>
      </c>
      <c r="K119" s="2" t="s">
        <v>14</v>
      </c>
      <c r="L119" s="2" t="s">
        <v>14</v>
      </c>
      <c r="M119" s="2" t="s">
        <v>14</v>
      </c>
      <c r="N119" s="4">
        <v>70</v>
      </c>
    </row>
    <row r="120" spans="1:14" x14ac:dyDescent="0.25">
      <c r="A120" s="1">
        <v>119</v>
      </c>
      <c r="B120" s="2" t="s">
        <v>2</v>
      </c>
      <c r="C120" s="4">
        <v>176</v>
      </c>
      <c r="D120" s="4">
        <v>75</v>
      </c>
      <c r="E120" s="2" t="s">
        <v>6</v>
      </c>
      <c r="F120" s="5">
        <v>0</v>
      </c>
      <c r="G120" s="2" t="s">
        <v>8</v>
      </c>
      <c r="H120" s="2" t="s">
        <v>12</v>
      </c>
      <c r="I120" s="4">
        <v>5.2</v>
      </c>
      <c r="J120" s="4">
        <v>6.3</v>
      </c>
      <c r="K120" s="2" t="s">
        <v>14</v>
      </c>
      <c r="L120" s="2" t="s">
        <v>14</v>
      </c>
      <c r="M120" s="2" t="s">
        <v>14</v>
      </c>
      <c r="N120" s="4">
        <v>12</v>
      </c>
    </row>
    <row r="121" spans="1:14" x14ac:dyDescent="0.25">
      <c r="A121" s="1">
        <v>120</v>
      </c>
      <c r="B121" s="2" t="s">
        <v>2</v>
      </c>
      <c r="C121" s="4">
        <v>173</v>
      </c>
      <c r="D121" s="4">
        <v>67</v>
      </c>
      <c r="E121" s="2" t="s">
        <v>5</v>
      </c>
      <c r="F121" s="4">
        <v>2</v>
      </c>
      <c r="G121" s="2" t="s">
        <v>8</v>
      </c>
      <c r="H121" s="2" t="s">
        <v>13</v>
      </c>
      <c r="I121" s="4">
        <v>5.9</v>
      </c>
      <c r="J121" s="4">
        <v>7.4</v>
      </c>
      <c r="K121" s="2" t="s">
        <v>15</v>
      </c>
      <c r="L121" s="2" t="s">
        <v>14</v>
      </c>
      <c r="M121" s="2" t="s">
        <v>14</v>
      </c>
      <c r="N121" s="4">
        <v>10</v>
      </c>
    </row>
    <row r="122" spans="1:14" x14ac:dyDescent="0.25">
      <c r="A122" s="1">
        <v>121</v>
      </c>
      <c r="B122" s="2" t="s">
        <v>2</v>
      </c>
      <c r="C122" s="4">
        <v>163</v>
      </c>
      <c r="D122" s="4">
        <v>45</v>
      </c>
      <c r="E122" s="2" t="s">
        <v>5</v>
      </c>
      <c r="F122" s="4">
        <v>5</v>
      </c>
      <c r="G122" s="27" t="s">
        <v>10</v>
      </c>
      <c r="H122" s="2" t="s">
        <v>12</v>
      </c>
      <c r="I122" s="4">
        <v>6.5</v>
      </c>
      <c r="J122" s="4">
        <v>9</v>
      </c>
      <c r="K122" s="2" t="s">
        <v>14</v>
      </c>
      <c r="L122" s="2" t="s">
        <v>14</v>
      </c>
      <c r="M122" s="2" t="s">
        <v>14</v>
      </c>
      <c r="N122" s="4">
        <v>7</v>
      </c>
    </row>
    <row r="123" spans="1:14" x14ac:dyDescent="0.25">
      <c r="A123" s="1">
        <v>122</v>
      </c>
      <c r="B123" s="2" t="s">
        <v>1</v>
      </c>
      <c r="C123" s="4">
        <v>162</v>
      </c>
      <c r="D123" s="4">
        <v>47</v>
      </c>
      <c r="E123" s="2" t="s">
        <v>4</v>
      </c>
      <c r="F123" s="4">
        <v>1</v>
      </c>
      <c r="G123" s="2" t="s">
        <v>8</v>
      </c>
      <c r="H123" s="2" t="s">
        <v>13</v>
      </c>
      <c r="I123" s="4">
        <v>6</v>
      </c>
      <c r="J123" s="4">
        <v>7</v>
      </c>
      <c r="K123" s="2" t="s">
        <v>14</v>
      </c>
      <c r="L123" s="2" t="s">
        <v>14</v>
      </c>
      <c r="M123" s="2" t="s">
        <v>14</v>
      </c>
      <c r="N123" s="4">
        <v>5</v>
      </c>
    </row>
    <row r="124" spans="1:14" x14ac:dyDescent="0.25">
      <c r="A124" s="1">
        <v>123</v>
      </c>
      <c r="B124" s="2" t="s">
        <v>1</v>
      </c>
      <c r="C124" s="4">
        <v>150</v>
      </c>
      <c r="D124" s="4">
        <v>50</v>
      </c>
      <c r="E124" s="2" t="s">
        <v>4</v>
      </c>
      <c r="F124" s="4">
        <v>3</v>
      </c>
      <c r="G124" s="2" t="s">
        <v>10</v>
      </c>
      <c r="H124" s="2" t="s">
        <v>13</v>
      </c>
      <c r="I124" s="4">
        <v>7</v>
      </c>
      <c r="J124" s="4">
        <v>8</v>
      </c>
      <c r="K124" s="2" t="s">
        <v>14</v>
      </c>
      <c r="L124" s="2" t="s">
        <v>14</v>
      </c>
      <c r="M124" s="2" t="s">
        <v>14</v>
      </c>
      <c r="N124" s="4">
        <v>0</v>
      </c>
    </row>
    <row r="125" spans="1:14" x14ac:dyDescent="0.25">
      <c r="A125" s="1">
        <v>124</v>
      </c>
      <c r="B125" s="6"/>
      <c r="C125" s="4">
        <v>175</v>
      </c>
      <c r="D125" s="4">
        <v>72</v>
      </c>
      <c r="E125" s="2" t="s">
        <v>6</v>
      </c>
      <c r="F125" s="4">
        <v>2</v>
      </c>
      <c r="G125" s="2" t="s">
        <v>11</v>
      </c>
      <c r="H125" s="2" t="s">
        <v>12</v>
      </c>
      <c r="I125" s="4">
        <v>8</v>
      </c>
      <c r="J125" s="4">
        <v>9</v>
      </c>
      <c r="K125" s="2" t="s">
        <v>14</v>
      </c>
      <c r="L125" s="2" t="s">
        <v>14</v>
      </c>
      <c r="M125" s="2" t="s">
        <v>14</v>
      </c>
      <c r="N125" s="4">
        <v>5</v>
      </c>
    </row>
    <row r="126" spans="1:14" x14ac:dyDescent="0.25">
      <c r="A126" s="1">
        <v>125</v>
      </c>
      <c r="B126" s="2" t="s">
        <v>2</v>
      </c>
      <c r="C126" s="4">
        <v>183</v>
      </c>
      <c r="D126" s="4">
        <v>65</v>
      </c>
      <c r="E126" s="2" t="s">
        <v>5</v>
      </c>
      <c r="F126" s="4">
        <v>1</v>
      </c>
      <c r="G126" s="2" t="s">
        <v>11</v>
      </c>
      <c r="H126" s="2" t="s">
        <v>12</v>
      </c>
      <c r="I126" s="4">
        <v>6</v>
      </c>
      <c r="J126" s="4">
        <v>4</v>
      </c>
      <c r="K126" s="2" t="s">
        <v>14</v>
      </c>
      <c r="L126" s="2" t="s">
        <v>15</v>
      </c>
      <c r="M126" s="2" t="s">
        <v>14</v>
      </c>
      <c r="N126" s="4">
        <v>10</v>
      </c>
    </row>
    <row r="127" spans="1:14" x14ac:dyDescent="0.25">
      <c r="A127" s="1">
        <v>126</v>
      </c>
      <c r="B127" s="2" t="s">
        <v>2</v>
      </c>
      <c r="C127" s="4">
        <v>167</v>
      </c>
      <c r="D127" s="4">
        <v>65</v>
      </c>
      <c r="E127" s="2" t="s">
        <v>5</v>
      </c>
      <c r="F127" s="4">
        <v>2</v>
      </c>
      <c r="G127" s="2" t="s">
        <v>10</v>
      </c>
      <c r="H127" s="2" t="s">
        <v>12</v>
      </c>
      <c r="I127" s="4">
        <v>6</v>
      </c>
      <c r="J127" s="4">
        <v>7</v>
      </c>
      <c r="K127" s="2" t="s">
        <v>14</v>
      </c>
      <c r="L127" s="2" t="s">
        <v>14</v>
      </c>
      <c r="M127" s="2" t="s">
        <v>14</v>
      </c>
      <c r="N127" s="4">
        <v>10</v>
      </c>
    </row>
    <row r="128" spans="1:14" x14ac:dyDescent="0.25">
      <c r="A128" s="1">
        <v>127</v>
      </c>
      <c r="B128" s="2" t="s">
        <v>1</v>
      </c>
      <c r="C128" s="4">
        <v>170</v>
      </c>
      <c r="D128" s="4">
        <v>58</v>
      </c>
      <c r="E128" s="2" t="s">
        <v>3</v>
      </c>
      <c r="F128" s="4">
        <v>2</v>
      </c>
      <c r="G128" s="2" t="s">
        <v>11</v>
      </c>
      <c r="H128" s="2" t="s">
        <v>12</v>
      </c>
      <c r="I128" s="4">
        <v>6.12</v>
      </c>
      <c r="J128" s="4">
        <v>9.3000000000000007</v>
      </c>
      <c r="K128" s="2" t="s">
        <v>14</v>
      </c>
      <c r="L128" s="2" t="s">
        <v>14</v>
      </c>
      <c r="M128" s="2" t="s">
        <v>14</v>
      </c>
      <c r="N128" s="4">
        <v>14</v>
      </c>
    </row>
    <row r="129" spans="1:14" x14ac:dyDescent="0.25">
      <c r="A129" s="1">
        <v>128</v>
      </c>
      <c r="B129" s="2" t="s">
        <v>2</v>
      </c>
      <c r="C129" s="4">
        <v>181</v>
      </c>
      <c r="D129" s="4">
        <v>78</v>
      </c>
      <c r="E129" s="2" t="s">
        <v>6</v>
      </c>
      <c r="F129" s="4">
        <v>2</v>
      </c>
      <c r="G129" s="2" t="s">
        <v>10</v>
      </c>
      <c r="H129" s="2" t="s">
        <v>12</v>
      </c>
      <c r="I129" s="4">
        <v>7</v>
      </c>
      <c r="J129" s="4">
        <v>5</v>
      </c>
      <c r="K129" s="2" t="s">
        <v>14</v>
      </c>
      <c r="L129" s="2" t="s">
        <v>15</v>
      </c>
      <c r="M129" s="2" t="s">
        <v>14</v>
      </c>
      <c r="N129" s="4">
        <v>4</v>
      </c>
    </row>
    <row r="130" spans="1:14" x14ac:dyDescent="0.25">
      <c r="A130" s="1">
        <v>129</v>
      </c>
      <c r="B130" s="2" t="s">
        <v>1</v>
      </c>
      <c r="C130" s="4">
        <v>169</v>
      </c>
      <c r="D130" s="4">
        <v>57</v>
      </c>
      <c r="E130" s="2" t="s">
        <v>3</v>
      </c>
      <c r="F130" s="4">
        <v>1</v>
      </c>
      <c r="G130" s="2" t="s">
        <v>11</v>
      </c>
      <c r="H130" s="2" t="s">
        <v>12</v>
      </c>
      <c r="I130" s="4">
        <v>5.7</v>
      </c>
      <c r="J130" s="4">
        <v>7.5</v>
      </c>
      <c r="K130" s="2" t="s">
        <v>14</v>
      </c>
      <c r="L130" s="2" t="s">
        <v>14</v>
      </c>
      <c r="M130" s="2" t="s">
        <v>14</v>
      </c>
      <c r="N130" s="4">
        <v>70</v>
      </c>
    </row>
    <row r="131" spans="1:14" x14ac:dyDescent="0.25">
      <c r="A131" s="1">
        <v>130</v>
      </c>
      <c r="B131" s="2" t="s">
        <v>1</v>
      </c>
      <c r="C131" s="4">
        <v>172</v>
      </c>
      <c r="D131" s="4">
        <v>52</v>
      </c>
      <c r="E131" s="2" t="s">
        <v>3</v>
      </c>
      <c r="F131" s="4">
        <v>6</v>
      </c>
      <c r="G131" s="2" t="s">
        <v>11</v>
      </c>
      <c r="H131" s="2" t="s">
        <v>12</v>
      </c>
      <c r="I131" s="4">
        <v>6</v>
      </c>
      <c r="J131" s="4">
        <v>5.2</v>
      </c>
      <c r="K131" s="2" t="s">
        <v>14</v>
      </c>
      <c r="L131" s="2" t="s">
        <v>14</v>
      </c>
      <c r="M131" s="2" t="s">
        <v>14</v>
      </c>
      <c r="N131" s="4">
        <v>70</v>
      </c>
    </row>
    <row r="132" spans="1:14" x14ac:dyDescent="0.25">
      <c r="A132" s="1">
        <v>131</v>
      </c>
      <c r="B132" s="2" t="s">
        <v>1</v>
      </c>
      <c r="C132" s="4">
        <v>160</v>
      </c>
      <c r="D132" s="4">
        <v>48</v>
      </c>
      <c r="E132" s="2" t="s">
        <v>5</v>
      </c>
      <c r="F132" s="4">
        <v>3</v>
      </c>
      <c r="G132" s="2" t="s">
        <v>8</v>
      </c>
      <c r="H132" s="2" t="s">
        <v>13</v>
      </c>
      <c r="I132" s="4">
        <v>7.5</v>
      </c>
      <c r="J132" s="4">
        <v>8.1999999999999993</v>
      </c>
      <c r="K132" s="2" t="s">
        <v>14</v>
      </c>
      <c r="L132" s="6"/>
      <c r="M132" s="2" t="s">
        <v>14</v>
      </c>
      <c r="N132" s="4">
        <v>10</v>
      </c>
    </row>
    <row r="133" spans="1:14" x14ac:dyDescent="0.25">
      <c r="A133" s="1">
        <v>132</v>
      </c>
      <c r="B133" s="2" t="s">
        <v>1</v>
      </c>
      <c r="C133" s="4">
        <v>173</v>
      </c>
      <c r="D133" s="4">
        <v>62</v>
      </c>
      <c r="E133" s="2" t="s">
        <v>3</v>
      </c>
      <c r="F133" s="4">
        <v>2</v>
      </c>
      <c r="G133" s="2" t="s">
        <v>8</v>
      </c>
      <c r="H133" s="2" t="s">
        <v>13</v>
      </c>
      <c r="I133" s="4">
        <v>7.6</v>
      </c>
      <c r="J133" s="4">
        <v>10.47</v>
      </c>
      <c r="K133" s="2" t="s">
        <v>14</v>
      </c>
      <c r="L133" s="2" t="s">
        <v>14</v>
      </c>
      <c r="M133" s="2" t="s">
        <v>14</v>
      </c>
      <c r="N133" s="4">
        <v>68</v>
      </c>
    </row>
    <row r="134" spans="1:14" x14ac:dyDescent="0.25">
      <c r="A134" s="1">
        <v>133</v>
      </c>
      <c r="B134" s="2" t="s">
        <v>2</v>
      </c>
      <c r="C134" s="4">
        <v>182</v>
      </c>
      <c r="D134" s="4">
        <v>64</v>
      </c>
      <c r="E134" s="2" t="s">
        <v>5</v>
      </c>
      <c r="F134" s="4">
        <v>1</v>
      </c>
      <c r="G134" s="2" t="s">
        <v>8</v>
      </c>
      <c r="H134" s="2" t="s">
        <v>12</v>
      </c>
      <c r="I134" s="4">
        <v>6.5</v>
      </c>
      <c r="J134" s="4">
        <v>8.01</v>
      </c>
      <c r="K134" s="2" t="s">
        <v>14</v>
      </c>
      <c r="L134" s="2" t="s">
        <v>14</v>
      </c>
      <c r="M134" s="2" t="s">
        <v>15</v>
      </c>
      <c r="N134" s="4">
        <v>0</v>
      </c>
    </row>
    <row r="135" spans="1:14" x14ac:dyDescent="0.25">
      <c r="A135" s="1">
        <v>134</v>
      </c>
      <c r="B135" s="2" t="s">
        <v>1</v>
      </c>
      <c r="C135" s="4">
        <v>168</v>
      </c>
      <c r="D135" s="4">
        <v>58</v>
      </c>
      <c r="E135" s="2" t="s">
        <v>4</v>
      </c>
      <c r="F135" s="4">
        <v>3</v>
      </c>
      <c r="G135" s="2" t="s">
        <v>9</v>
      </c>
      <c r="H135" s="2" t="s">
        <v>12</v>
      </c>
      <c r="I135" s="4">
        <v>5.3</v>
      </c>
      <c r="J135" s="4">
        <v>6.2</v>
      </c>
      <c r="K135" s="2" t="s">
        <v>14</v>
      </c>
      <c r="L135" s="2" t="s">
        <v>14</v>
      </c>
      <c r="M135" s="2" t="s">
        <v>14</v>
      </c>
      <c r="N135" s="4">
        <v>5</v>
      </c>
    </row>
    <row r="136" spans="1:14" x14ac:dyDescent="0.25">
      <c r="A136" s="1">
        <v>135</v>
      </c>
      <c r="B136" s="2" t="s">
        <v>1</v>
      </c>
      <c r="C136" s="4">
        <v>163</v>
      </c>
      <c r="D136" s="4">
        <v>62</v>
      </c>
      <c r="E136" s="2" t="s">
        <v>4</v>
      </c>
      <c r="F136" s="4">
        <v>2</v>
      </c>
      <c r="G136" s="2" t="s">
        <v>9</v>
      </c>
      <c r="H136" s="2" t="s">
        <v>12</v>
      </c>
      <c r="I136" s="4">
        <v>8</v>
      </c>
      <c r="J136" s="4">
        <v>10.5</v>
      </c>
      <c r="K136" s="2" t="s">
        <v>14</v>
      </c>
      <c r="L136" s="2" t="s">
        <v>14</v>
      </c>
      <c r="M136" s="2" t="s">
        <v>14</v>
      </c>
      <c r="N136" s="4">
        <v>65</v>
      </c>
    </row>
    <row r="137" spans="1:14" x14ac:dyDescent="0.25">
      <c r="A137" s="1">
        <v>136</v>
      </c>
      <c r="B137" s="2" t="s">
        <v>1</v>
      </c>
      <c r="C137" s="7">
        <v>1.6</v>
      </c>
      <c r="D137" s="4">
        <v>53</v>
      </c>
      <c r="E137" s="2" t="s">
        <v>4</v>
      </c>
      <c r="F137" s="4">
        <v>2</v>
      </c>
      <c r="G137" s="2" t="s">
        <v>9</v>
      </c>
      <c r="H137" s="2" t="s">
        <v>13</v>
      </c>
      <c r="I137" s="4">
        <v>5.3</v>
      </c>
      <c r="J137" s="4">
        <v>5.7</v>
      </c>
      <c r="K137" s="2" t="s">
        <v>14</v>
      </c>
      <c r="L137" s="2" t="s">
        <v>14</v>
      </c>
      <c r="M137" s="2" t="s">
        <v>14</v>
      </c>
      <c r="N137" s="4">
        <v>50</v>
      </c>
    </row>
    <row r="138" spans="1:14" x14ac:dyDescent="0.25">
      <c r="A138" s="1">
        <v>137</v>
      </c>
      <c r="B138" s="2" t="s">
        <v>2</v>
      </c>
      <c r="C138" s="4">
        <v>180</v>
      </c>
      <c r="D138" s="4">
        <v>75</v>
      </c>
      <c r="E138" s="2" t="s">
        <v>6</v>
      </c>
      <c r="F138" s="5">
        <v>0</v>
      </c>
      <c r="G138" s="2" t="s">
        <v>8</v>
      </c>
      <c r="H138" s="2" t="s">
        <v>12</v>
      </c>
      <c r="I138" s="4">
        <v>7</v>
      </c>
      <c r="J138" s="4">
        <v>7.9</v>
      </c>
      <c r="K138" s="2" t="s">
        <v>14</v>
      </c>
      <c r="L138" s="2" t="s">
        <v>14</v>
      </c>
      <c r="M138" s="2" t="s">
        <v>14</v>
      </c>
      <c r="N138" s="4">
        <v>12</v>
      </c>
    </row>
    <row r="139" spans="1:14" x14ac:dyDescent="0.25">
      <c r="A139" s="1">
        <v>138</v>
      </c>
      <c r="B139" s="2" t="s">
        <v>2</v>
      </c>
      <c r="C139" s="4">
        <v>177</v>
      </c>
      <c r="D139" s="4">
        <v>80</v>
      </c>
      <c r="E139" s="2" t="s">
        <v>5</v>
      </c>
      <c r="F139" s="5">
        <v>0</v>
      </c>
      <c r="G139" s="2" t="s">
        <v>8</v>
      </c>
      <c r="H139" s="2" t="s">
        <v>12</v>
      </c>
      <c r="I139" s="4">
        <v>6.3</v>
      </c>
      <c r="J139" s="4">
        <v>5.85</v>
      </c>
      <c r="K139" s="2" t="s">
        <v>14</v>
      </c>
      <c r="L139" s="2" t="s">
        <v>14</v>
      </c>
      <c r="M139" s="2" t="s">
        <v>14</v>
      </c>
      <c r="N139" s="4">
        <v>13</v>
      </c>
    </row>
    <row r="140" spans="1:14" x14ac:dyDescent="0.25">
      <c r="A140" s="1">
        <v>139</v>
      </c>
      <c r="B140" s="2" t="s">
        <v>2</v>
      </c>
      <c r="C140" s="4">
        <v>174</v>
      </c>
      <c r="D140" s="4">
        <v>80</v>
      </c>
      <c r="E140" s="2" t="s">
        <v>5</v>
      </c>
      <c r="F140" s="4">
        <v>3</v>
      </c>
      <c r="G140" s="2" t="s">
        <v>8</v>
      </c>
      <c r="H140" s="2" t="s">
        <v>12</v>
      </c>
      <c r="I140" s="4">
        <v>6</v>
      </c>
      <c r="J140" s="4">
        <v>6</v>
      </c>
      <c r="K140" s="2" t="s">
        <v>14</v>
      </c>
      <c r="L140" s="2" t="s">
        <v>14</v>
      </c>
      <c r="M140" s="2" t="s">
        <v>14</v>
      </c>
      <c r="N140" s="4">
        <v>2</v>
      </c>
    </row>
    <row r="141" spans="1:14" x14ac:dyDescent="0.25">
      <c r="A141" s="1">
        <v>140</v>
      </c>
      <c r="B141" s="2" t="s">
        <v>1</v>
      </c>
      <c r="C141" s="4">
        <v>160</v>
      </c>
      <c r="D141" s="4">
        <v>50</v>
      </c>
      <c r="E141" s="2" t="s">
        <v>4</v>
      </c>
      <c r="F141" s="4">
        <v>2</v>
      </c>
      <c r="G141" s="2" t="s">
        <v>11</v>
      </c>
      <c r="H141" s="2" t="s">
        <v>12</v>
      </c>
      <c r="I141" s="4">
        <v>5.41</v>
      </c>
      <c r="J141" s="4">
        <v>5.2</v>
      </c>
      <c r="K141" s="2" t="s">
        <v>14</v>
      </c>
      <c r="L141" s="2" t="s">
        <v>14</v>
      </c>
      <c r="M141" s="2" t="s">
        <v>14</v>
      </c>
      <c r="N141" s="4">
        <v>6</v>
      </c>
    </row>
    <row r="142" spans="1:14" x14ac:dyDescent="0.25">
      <c r="A142" s="1">
        <v>141</v>
      </c>
      <c r="B142" s="2" t="s">
        <v>1</v>
      </c>
      <c r="C142" s="4">
        <v>160</v>
      </c>
      <c r="D142" s="4">
        <v>52</v>
      </c>
      <c r="E142" s="2" t="s">
        <v>4</v>
      </c>
      <c r="F142" s="4">
        <v>1</v>
      </c>
      <c r="G142" s="2" t="s">
        <v>8</v>
      </c>
      <c r="H142" s="2" t="s">
        <v>12</v>
      </c>
      <c r="I142" s="4">
        <v>5.6</v>
      </c>
      <c r="J142" s="4">
        <v>6</v>
      </c>
      <c r="K142" s="2" t="s">
        <v>14</v>
      </c>
      <c r="L142" s="2" t="s">
        <v>14</v>
      </c>
      <c r="M142" s="2" t="s">
        <v>14</v>
      </c>
      <c r="N142" s="4">
        <v>6</v>
      </c>
    </row>
    <row r="143" spans="1:14" x14ac:dyDescent="0.25">
      <c r="A143" s="1">
        <v>142</v>
      </c>
      <c r="B143" s="2" t="s">
        <v>2</v>
      </c>
      <c r="C143" s="4">
        <v>190</v>
      </c>
      <c r="D143" s="4">
        <v>85</v>
      </c>
      <c r="E143" s="2" t="s">
        <v>4</v>
      </c>
      <c r="F143" s="4">
        <v>2</v>
      </c>
      <c r="G143" s="2" t="s">
        <v>11</v>
      </c>
      <c r="H143" s="2" t="s">
        <v>12</v>
      </c>
      <c r="I143" s="4">
        <v>6</v>
      </c>
      <c r="J143" s="4">
        <v>8</v>
      </c>
      <c r="K143" s="2" t="s">
        <v>14</v>
      </c>
      <c r="L143" s="2" t="s">
        <v>14</v>
      </c>
      <c r="M143" s="2" t="s">
        <v>14</v>
      </c>
      <c r="N143" s="4">
        <v>2</v>
      </c>
    </row>
    <row r="144" spans="1:14" x14ac:dyDescent="0.25">
      <c r="A144" s="8" t="s">
        <v>28</v>
      </c>
      <c r="B144" s="9">
        <v>0</v>
      </c>
      <c r="C144" s="10">
        <v>3</v>
      </c>
      <c r="D144" s="11">
        <v>5</v>
      </c>
      <c r="E144" s="11">
        <v>0</v>
      </c>
      <c r="F144" s="11">
        <f>COUNTIF(F2:F143,0)</f>
        <v>15</v>
      </c>
      <c r="G144" s="11">
        <v>0</v>
      </c>
      <c r="H144" s="11">
        <v>0</v>
      </c>
      <c r="I144" s="11">
        <v>6</v>
      </c>
      <c r="J144" s="11">
        <v>11</v>
      </c>
      <c r="K144" s="11">
        <v>0</v>
      </c>
      <c r="L144" s="11">
        <v>0</v>
      </c>
      <c r="M144" s="11">
        <v>0</v>
      </c>
      <c r="N144" s="11">
        <v>6</v>
      </c>
    </row>
    <row r="145" spans="1:14" x14ac:dyDescent="0.25">
      <c r="A145" s="12" t="s">
        <v>29</v>
      </c>
      <c r="B145" s="13">
        <v>0</v>
      </c>
      <c r="C145" s="14">
        <f>COUNTIF(C2:C143,"&lt;=120")-COUNTIF(C2:C143,0)</f>
        <v>14</v>
      </c>
      <c r="D145" s="14">
        <v>0</v>
      </c>
      <c r="E145" s="14">
        <v>0</v>
      </c>
      <c r="F145" s="14">
        <v>0</v>
      </c>
      <c r="G145" s="14">
        <v>0</v>
      </c>
      <c r="H145" s="14">
        <v>0</v>
      </c>
      <c r="I145" s="14">
        <v>0</v>
      </c>
      <c r="J145" s="14">
        <v>0</v>
      </c>
      <c r="K145" s="14">
        <v>0</v>
      </c>
      <c r="L145" s="14">
        <v>0</v>
      </c>
      <c r="M145" s="14">
        <v>0</v>
      </c>
      <c r="N145" s="14">
        <v>0</v>
      </c>
    </row>
    <row r="146" spans="1:14" x14ac:dyDescent="0.25">
      <c r="A146" s="15" t="s">
        <v>30</v>
      </c>
      <c r="B146" s="6">
        <f>COUNTBLANK(B2:B143)</f>
        <v>3</v>
      </c>
      <c r="C146" s="6">
        <f t="shared" ref="C146:N146" si="0">COUNTBLANK(C2:C143)</f>
        <v>0</v>
      </c>
      <c r="D146" s="6">
        <f t="shared" si="0"/>
        <v>0</v>
      </c>
      <c r="E146" s="6">
        <f t="shared" si="0"/>
        <v>2</v>
      </c>
      <c r="F146" s="6">
        <f t="shared" si="0"/>
        <v>0</v>
      </c>
      <c r="G146" s="6">
        <f t="shared" si="0"/>
        <v>3</v>
      </c>
      <c r="H146" s="6">
        <f t="shared" si="0"/>
        <v>4</v>
      </c>
      <c r="I146" s="6">
        <f t="shared" si="0"/>
        <v>0</v>
      </c>
      <c r="J146" s="6">
        <f>COUNTBLANK(J2:J143)</f>
        <v>0</v>
      </c>
      <c r="K146" s="6">
        <f t="shared" si="0"/>
        <v>4</v>
      </c>
      <c r="L146" s="6">
        <f t="shared" si="0"/>
        <v>4</v>
      </c>
      <c r="M146" s="6">
        <f t="shared" si="0"/>
        <v>3</v>
      </c>
      <c r="N146" s="6">
        <f t="shared" si="0"/>
        <v>0</v>
      </c>
    </row>
  </sheetData>
  <sheetProtection formatCells="0" formatColumns="0" formatRows="0" insertColumns="0" insertRows="0" insertHyperlinks="0" deleteColumns="0" deleteRows="0" sort="0" autoFilter="0" pivotTables="0"/>
  <pageMargins left="0.7" right="0.7" top="0.75" bottom="0.75" header="0.3" footer="0.3"/>
  <pageSetup orientation="portrait" r:id="rId1"/>
  <ignoredErrors>
    <ignoredError sqref="C14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5"/>
  <sheetViews>
    <sheetView topLeftCell="D1" zoomScaleNormal="100" workbookViewId="0">
      <selection activeCell="L4" sqref="L4"/>
    </sheetView>
  </sheetViews>
  <sheetFormatPr baseColWidth="10" defaultColWidth="9.140625" defaultRowHeight="15" x14ac:dyDescent="0.25"/>
  <cols>
    <col min="1" max="1" width="12.85546875" customWidth="1"/>
    <col min="2" max="3" width="17.28515625" customWidth="1"/>
    <col min="4" max="4" width="15.5703125" customWidth="1"/>
    <col min="6" max="6" width="13.28515625" bestFit="1" customWidth="1"/>
    <col min="7" max="7" width="43.140625" bestFit="1" customWidth="1"/>
    <col min="8" max="8" width="12.28515625" customWidth="1"/>
    <col min="9" max="9" width="16.28515625" bestFit="1" customWidth="1"/>
    <col min="10" max="10" width="39.42578125" bestFit="1" customWidth="1"/>
    <col min="11" max="11" width="12.140625" bestFit="1" customWidth="1"/>
    <col min="12" max="12" width="17.140625" bestFit="1" customWidth="1"/>
    <col min="13" max="13" width="13.5703125" customWidth="1"/>
    <col min="14" max="14" width="14.28515625" customWidth="1"/>
    <col min="15" max="15" width="15.85546875" bestFit="1" customWidth="1"/>
    <col min="16" max="17" width="12.42578125" customWidth="1"/>
    <col min="18" max="18" width="10.28515625" customWidth="1"/>
    <col min="19" max="19" width="15.42578125" customWidth="1"/>
    <col min="20" max="20" width="13" customWidth="1"/>
    <col min="21" max="21" width="12.42578125" customWidth="1"/>
  </cols>
  <sheetData>
    <row r="1" spans="1:21" x14ac:dyDescent="0.25">
      <c r="A1" s="58" t="s">
        <v>31</v>
      </c>
      <c r="B1" s="59" t="s">
        <v>57</v>
      </c>
      <c r="C1" s="57" t="s">
        <v>0</v>
      </c>
      <c r="D1" s="57" t="s">
        <v>16</v>
      </c>
      <c r="E1" s="57" t="s">
        <v>17</v>
      </c>
      <c r="F1" s="59" t="s">
        <v>58</v>
      </c>
      <c r="G1" s="57" t="s">
        <v>18</v>
      </c>
      <c r="H1" s="59" t="s">
        <v>19</v>
      </c>
      <c r="I1" s="59" t="s">
        <v>56</v>
      </c>
      <c r="J1" s="57" t="s">
        <v>20</v>
      </c>
      <c r="K1" s="59" t="s">
        <v>59</v>
      </c>
      <c r="L1" s="57" t="s">
        <v>21</v>
      </c>
      <c r="M1" s="57" t="s">
        <v>22</v>
      </c>
      <c r="N1" s="59" t="s">
        <v>49</v>
      </c>
      <c r="O1" s="59" t="s">
        <v>60</v>
      </c>
      <c r="P1" s="57" t="s">
        <v>24</v>
      </c>
      <c r="Q1" s="59" t="s">
        <v>61</v>
      </c>
      <c r="R1" s="57" t="s">
        <v>25</v>
      </c>
      <c r="S1" s="59" t="s">
        <v>62</v>
      </c>
      <c r="T1" s="59" t="s">
        <v>48</v>
      </c>
      <c r="U1" s="57" t="s">
        <v>27</v>
      </c>
    </row>
    <row r="2" spans="1:21" x14ac:dyDescent="0.25">
      <c r="A2" s="1">
        <v>1</v>
      </c>
      <c r="B2" s="2">
        <v>1</v>
      </c>
      <c r="C2" s="2" t="s">
        <v>2</v>
      </c>
      <c r="D2" s="16"/>
      <c r="E2" s="16"/>
      <c r="F2" s="2">
        <v>1</v>
      </c>
      <c r="G2" s="27" t="s">
        <v>4</v>
      </c>
      <c r="H2" s="16"/>
      <c r="I2" s="2">
        <v>3</v>
      </c>
      <c r="J2" s="2" t="s">
        <v>11</v>
      </c>
      <c r="K2" s="2">
        <v>0</v>
      </c>
      <c r="L2" s="2" t="s">
        <v>12</v>
      </c>
      <c r="M2" s="16"/>
      <c r="N2" s="16"/>
      <c r="O2" s="18">
        <v>1</v>
      </c>
      <c r="P2" s="18" t="s">
        <v>14</v>
      </c>
      <c r="Q2" s="18">
        <v>1</v>
      </c>
      <c r="R2" s="18" t="s">
        <v>14</v>
      </c>
      <c r="S2" s="18">
        <v>1</v>
      </c>
      <c r="T2" s="18" t="s">
        <v>14</v>
      </c>
      <c r="U2" s="16"/>
    </row>
    <row r="3" spans="1:21" x14ac:dyDescent="0.25">
      <c r="A3" s="1">
        <v>2</v>
      </c>
      <c r="B3" s="2">
        <v>1</v>
      </c>
      <c r="C3" s="2" t="s">
        <v>2</v>
      </c>
      <c r="D3" s="16"/>
      <c r="E3" s="16"/>
      <c r="F3" s="2">
        <v>3</v>
      </c>
      <c r="G3" s="2" t="s">
        <v>6</v>
      </c>
      <c r="H3" s="16"/>
      <c r="I3" s="2">
        <v>0</v>
      </c>
      <c r="J3" s="2" t="s">
        <v>8</v>
      </c>
      <c r="K3" s="2">
        <v>1</v>
      </c>
      <c r="L3" s="2" t="s">
        <v>13</v>
      </c>
      <c r="M3" s="16"/>
      <c r="N3" s="16"/>
      <c r="O3" s="18">
        <v>1</v>
      </c>
      <c r="P3" s="18" t="s">
        <v>14</v>
      </c>
      <c r="Q3" s="18">
        <v>1</v>
      </c>
      <c r="R3" s="18" t="s">
        <v>14</v>
      </c>
      <c r="S3" s="18">
        <v>1</v>
      </c>
      <c r="T3" s="18" t="s">
        <v>14</v>
      </c>
      <c r="U3" s="16"/>
    </row>
    <row r="4" spans="1:21" x14ac:dyDescent="0.25">
      <c r="A4" s="1">
        <v>3</v>
      </c>
      <c r="B4" s="2">
        <v>1</v>
      </c>
      <c r="C4" s="2" t="s">
        <v>2</v>
      </c>
      <c r="D4" s="16"/>
      <c r="E4" s="16"/>
      <c r="F4" s="2">
        <v>3</v>
      </c>
      <c r="G4" s="2" t="s">
        <v>6</v>
      </c>
      <c r="H4" s="16"/>
      <c r="I4" s="27">
        <v>2</v>
      </c>
      <c r="J4" s="27" t="s">
        <v>10</v>
      </c>
      <c r="K4" s="2">
        <v>0</v>
      </c>
      <c r="L4" s="2" t="s">
        <v>12</v>
      </c>
      <c r="M4" s="16"/>
      <c r="N4" s="16"/>
      <c r="O4" s="18">
        <v>1</v>
      </c>
      <c r="P4" s="18" t="s">
        <v>14</v>
      </c>
      <c r="Q4" s="18">
        <v>0</v>
      </c>
      <c r="R4" s="18" t="s">
        <v>15</v>
      </c>
      <c r="S4" s="18">
        <v>1</v>
      </c>
      <c r="T4" s="18" t="s">
        <v>14</v>
      </c>
      <c r="U4" s="16"/>
    </row>
    <row r="5" spans="1:21" x14ac:dyDescent="0.25">
      <c r="A5" s="1">
        <v>4</v>
      </c>
      <c r="B5" s="2">
        <v>0</v>
      </c>
      <c r="C5" s="2" t="s">
        <v>1</v>
      </c>
      <c r="D5" s="4">
        <v>162</v>
      </c>
      <c r="E5" s="4">
        <v>52.5</v>
      </c>
      <c r="F5" s="2">
        <v>2</v>
      </c>
      <c r="G5" s="2" t="s">
        <v>5</v>
      </c>
      <c r="H5" s="4">
        <v>4</v>
      </c>
      <c r="I5" s="2">
        <v>0</v>
      </c>
      <c r="J5" s="2" t="s">
        <v>8</v>
      </c>
      <c r="K5" s="2">
        <v>0</v>
      </c>
      <c r="L5" s="2" t="s">
        <v>12</v>
      </c>
      <c r="M5" s="4">
        <v>9</v>
      </c>
      <c r="N5" s="4">
        <v>11</v>
      </c>
      <c r="O5" s="18">
        <v>1</v>
      </c>
      <c r="P5" s="18" t="s">
        <v>14</v>
      </c>
      <c r="Q5" s="18">
        <v>1</v>
      </c>
      <c r="R5" s="18" t="s">
        <v>14</v>
      </c>
      <c r="S5" s="18">
        <v>0</v>
      </c>
      <c r="T5" s="18" t="s">
        <v>15</v>
      </c>
      <c r="U5" s="16">
        <v>0</v>
      </c>
    </row>
    <row r="6" spans="1:21" x14ac:dyDescent="0.25">
      <c r="A6" s="1">
        <v>5</v>
      </c>
      <c r="B6" s="2">
        <v>1</v>
      </c>
      <c r="C6" s="2" t="s">
        <v>2</v>
      </c>
      <c r="D6" s="4">
        <v>182</v>
      </c>
      <c r="E6" s="4">
        <v>76</v>
      </c>
      <c r="F6" s="2">
        <v>3</v>
      </c>
      <c r="G6" s="2" t="s">
        <v>6</v>
      </c>
      <c r="H6" s="4">
        <v>2</v>
      </c>
      <c r="I6" s="2">
        <v>2</v>
      </c>
      <c r="J6" s="2" t="s">
        <v>10</v>
      </c>
      <c r="K6" s="2">
        <v>0</v>
      </c>
      <c r="L6" s="2" t="s">
        <v>12</v>
      </c>
      <c r="M6" s="4">
        <v>7</v>
      </c>
      <c r="N6" s="4">
        <v>7</v>
      </c>
      <c r="O6" s="18">
        <v>1</v>
      </c>
      <c r="P6" s="18" t="s">
        <v>14</v>
      </c>
      <c r="Q6" s="18">
        <v>1</v>
      </c>
      <c r="R6" s="18" t="s">
        <v>14</v>
      </c>
      <c r="S6" s="18">
        <v>1</v>
      </c>
      <c r="T6" s="18" t="s">
        <v>14</v>
      </c>
      <c r="U6" s="16">
        <v>10</v>
      </c>
    </row>
    <row r="7" spans="1:21" x14ac:dyDescent="0.25">
      <c r="A7" s="1">
        <v>6</v>
      </c>
      <c r="B7" s="2">
        <v>1</v>
      </c>
      <c r="C7" s="2" t="s">
        <v>2</v>
      </c>
      <c r="D7" s="4">
        <v>185</v>
      </c>
      <c r="E7" s="4">
        <v>84</v>
      </c>
      <c r="F7" s="2">
        <v>4</v>
      </c>
      <c r="G7" s="2" t="s">
        <v>7</v>
      </c>
      <c r="H7" s="4">
        <v>2</v>
      </c>
      <c r="I7" s="2">
        <v>0</v>
      </c>
      <c r="J7" s="2" t="s">
        <v>8</v>
      </c>
      <c r="K7" s="2">
        <v>0</v>
      </c>
      <c r="L7" s="2" t="s">
        <v>12</v>
      </c>
      <c r="M7" s="4">
        <v>6</v>
      </c>
      <c r="N7" s="16"/>
      <c r="O7" s="18">
        <v>1</v>
      </c>
      <c r="P7" s="18" t="s">
        <v>14</v>
      </c>
      <c r="Q7" s="18">
        <v>1</v>
      </c>
      <c r="R7" s="18" t="s">
        <v>14</v>
      </c>
      <c r="S7" s="18">
        <v>1</v>
      </c>
      <c r="T7" s="18" t="s">
        <v>14</v>
      </c>
      <c r="U7" s="16">
        <v>2</v>
      </c>
    </row>
    <row r="8" spans="1:21" x14ac:dyDescent="0.25">
      <c r="A8" s="1">
        <v>7</v>
      </c>
      <c r="B8" s="2">
        <v>1</v>
      </c>
      <c r="C8" s="2" t="s">
        <v>2</v>
      </c>
      <c r="D8" s="4">
        <v>170</v>
      </c>
      <c r="E8" s="4">
        <v>60</v>
      </c>
      <c r="F8" s="2">
        <v>1</v>
      </c>
      <c r="G8" s="2" t="s">
        <v>4</v>
      </c>
      <c r="H8" s="4">
        <v>3</v>
      </c>
      <c r="I8" s="2">
        <v>0</v>
      </c>
      <c r="J8" s="2" t="s">
        <v>8</v>
      </c>
      <c r="K8" s="2">
        <v>0</v>
      </c>
      <c r="L8" s="2" t="s">
        <v>12</v>
      </c>
      <c r="M8" s="4">
        <v>8</v>
      </c>
      <c r="N8" s="4">
        <v>8</v>
      </c>
      <c r="O8" s="18">
        <v>1</v>
      </c>
      <c r="P8" s="18" t="s">
        <v>14</v>
      </c>
      <c r="Q8" s="18">
        <v>1</v>
      </c>
      <c r="R8" s="18" t="s">
        <v>14</v>
      </c>
      <c r="S8" s="18">
        <v>1</v>
      </c>
      <c r="T8" s="18" t="s">
        <v>14</v>
      </c>
      <c r="U8" s="16">
        <v>30</v>
      </c>
    </row>
    <row r="9" spans="1:21" x14ac:dyDescent="0.25">
      <c r="A9" s="1">
        <v>8</v>
      </c>
      <c r="B9" s="2">
        <v>0</v>
      </c>
      <c r="C9" s="2" t="s">
        <v>1</v>
      </c>
      <c r="D9" s="4">
        <v>172</v>
      </c>
      <c r="E9" s="4">
        <v>72</v>
      </c>
      <c r="F9" s="2">
        <v>2</v>
      </c>
      <c r="G9" s="2" t="s">
        <v>5</v>
      </c>
      <c r="H9" s="4">
        <v>2</v>
      </c>
      <c r="I9" s="27">
        <v>1</v>
      </c>
      <c r="J9" s="27" t="s">
        <v>9</v>
      </c>
      <c r="K9" s="2">
        <v>0</v>
      </c>
      <c r="L9" s="2" t="s">
        <v>12</v>
      </c>
      <c r="M9" s="4">
        <v>6.9</v>
      </c>
      <c r="N9" s="4">
        <v>8.9</v>
      </c>
      <c r="O9" s="18">
        <v>1</v>
      </c>
      <c r="P9" s="18" t="s">
        <v>14</v>
      </c>
      <c r="Q9" s="18">
        <v>1</v>
      </c>
      <c r="R9" s="18" t="s">
        <v>14</v>
      </c>
      <c r="S9" s="18">
        <v>1</v>
      </c>
      <c r="T9" s="18" t="s">
        <v>14</v>
      </c>
      <c r="U9" s="16">
        <v>3</v>
      </c>
    </row>
    <row r="10" spans="1:21" x14ac:dyDescent="0.25">
      <c r="A10" s="1">
        <v>9</v>
      </c>
      <c r="B10" s="2">
        <v>0</v>
      </c>
      <c r="C10" s="2" t="s">
        <v>1</v>
      </c>
      <c r="D10" s="4">
        <v>159</v>
      </c>
      <c r="E10" s="4">
        <v>51</v>
      </c>
      <c r="F10" s="2">
        <v>1</v>
      </c>
      <c r="G10" s="2" t="s">
        <v>4</v>
      </c>
      <c r="H10" s="4">
        <v>2</v>
      </c>
      <c r="I10" s="2">
        <v>0</v>
      </c>
      <c r="J10" s="2" t="s">
        <v>8</v>
      </c>
      <c r="K10" s="2">
        <v>0</v>
      </c>
      <c r="L10" s="2" t="s">
        <v>12</v>
      </c>
      <c r="M10" s="4">
        <v>7.3</v>
      </c>
      <c r="N10" s="4">
        <v>7.5</v>
      </c>
      <c r="O10" s="17"/>
      <c r="P10" s="17"/>
      <c r="Q10" s="17"/>
      <c r="R10" s="17"/>
      <c r="S10" s="17"/>
      <c r="T10" s="17"/>
      <c r="U10" s="16"/>
    </row>
    <row r="11" spans="1:21" x14ac:dyDescent="0.25">
      <c r="A11" s="1">
        <v>10</v>
      </c>
      <c r="B11" s="2">
        <v>1</v>
      </c>
      <c r="C11" s="2" t="s">
        <v>2</v>
      </c>
      <c r="D11" s="4">
        <v>182</v>
      </c>
      <c r="E11" s="4">
        <v>76</v>
      </c>
      <c r="F11" s="2">
        <v>3</v>
      </c>
      <c r="G11" s="2" t="s">
        <v>6</v>
      </c>
      <c r="H11" s="4">
        <v>2</v>
      </c>
      <c r="I11" s="2">
        <v>1</v>
      </c>
      <c r="J11" s="2" t="s">
        <v>9</v>
      </c>
      <c r="K11" s="2">
        <v>0</v>
      </c>
      <c r="L11" s="2" t="s">
        <v>12</v>
      </c>
      <c r="M11" s="4">
        <v>5.58</v>
      </c>
      <c r="N11" s="4">
        <v>5.2</v>
      </c>
      <c r="O11" s="2">
        <v>1</v>
      </c>
      <c r="P11" s="2" t="s">
        <v>14</v>
      </c>
      <c r="Q11" s="2">
        <v>1</v>
      </c>
      <c r="R11" s="2" t="s">
        <v>14</v>
      </c>
      <c r="S11" s="2">
        <v>1</v>
      </c>
      <c r="T11" s="2" t="s">
        <v>14</v>
      </c>
      <c r="U11" s="4">
        <v>8</v>
      </c>
    </row>
    <row r="12" spans="1:21" x14ac:dyDescent="0.25">
      <c r="A12" s="1">
        <v>11</v>
      </c>
      <c r="B12" s="2">
        <v>0</v>
      </c>
      <c r="C12" s="2" t="s">
        <v>1</v>
      </c>
      <c r="D12" s="16">
        <v>160</v>
      </c>
      <c r="E12" s="4">
        <v>50</v>
      </c>
      <c r="F12" s="2">
        <v>1</v>
      </c>
      <c r="G12" s="2" t="s">
        <v>4</v>
      </c>
      <c r="H12" s="4">
        <v>2</v>
      </c>
      <c r="I12" s="2">
        <v>1</v>
      </c>
      <c r="J12" s="2" t="s">
        <v>9</v>
      </c>
      <c r="K12" s="2">
        <v>0</v>
      </c>
      <c r="L12" s="2" t="s">
        <v>12</v>
      </c>
      <c r="M12" s="4">
        <v>6</v>
      </c>
      <c r="N12" s="4">
        <v>7.6</v>
      </c>
      <c r="O12" s="2">
        <v>1</v>
      </c>
      <c r="P12" s="2" t="s">
        <v>14</v>
      </c>
      <c r="Q12" s="2">
        <v>1</v>
      </c>
      <c r="R12" s="2" t="s">
        <v>14</v>
      </c>
      <c r="S12" s="2">
        <v>0</v>
      </c>
      <c r="T12" s="2" t="s">
        <v>15</v>
      </c>
      <c r="U12" s="4">
        <v>0</v>
      </c>
    </row>
    <row r="13" spans="1:21" x14ac:dyDescent="0.25">
      <c r="A13" s="1">
        <v>12</v>
      </c>
      <c r="B13" s="2">
        <v>1</v>
      </c>
      <c r="C13" s="2" t="s">
        <v>2</v>
      </c>
      <c r="D13" s="4">
        <v>182</v>
      </c>
      <c r="E13" s="4">
        <v>65</v>
      </c>
      <c r="F13" s="2">
        <v>3</v>
      </c>
      <c r="G13" s="2" t="s">
        <v>6</v>
      </c>
      <c r="H13" s="4">
        <v>3</v>
      </c>
      <c r="I13" s="2">
        <v>0</v>
      </c>
      <c r="J13" s="2" t="s">
        <v>8</v>
      </c>
      <c r="K13" s="2">
        <v>0</v>
      </c>
      <c r="L13" s="2" t="s">
        <v>12</v>
      </c>
      <c r="M13" s="4">
        <v>7.5</v>
      </c>
      <c r="N13" s="4">
        <v>9.3030000000000008</v>
      </c>
      <c r="O13" s="2">
        <v>1</v>
      </c>
      <c r="P13" s="2" t="s">
        <v>14</v>
      </c>
      <c r="Q13" s="2">
        <v>1</v>
      </c>
      <c r="R13" s="2" t="s">
        <v>14</v>
      </c>
      <c r="S13" s="2">
        <v>1</v>
      </c>
      <c r="T13" s="2" t="s">
        <v>14</v>
      </c>
      <c r="U13" s="4">
        <v>10</v>
      </c>
    </row>
    <row r="14" spans="1:21" x14ac:dyDescent="0.25">
      <c r="A14" s="1">
        <v>13</v>
      </c>
      <c r="B14" s="2">
        <v>1</v>
      </c>
      <c r="C14" s="2" t="s">
        <v>2</v>
      </c>
      <c r="D14" s="4">
        <v>180</v>
      </c>
      <c r="E14" s="4">
        <v>71</v>
      </c>
      <c r="F14" s="2">
        <v>3</v>
      </c>
      <c r="G14" s="2" t="s">
        <v>6</v>
      </c>
      <c r="H14" s="4">
        <v>1</v>
      </c>
      <c r="I14" s="2">
        <v>0</v>
      </c>
      <c r="J14" s="2" t="s">
        <v>8</v>
      </c>
      <c r="K14" s="2">
        <v>1</v>
      </c>
      <c r="L14" s="2" t="s">
        <v>13</v>
      </c>
      <c r="M14" s="4">
        <v>5.5</v>
      </c>
      <c r="N14" s="4">
        <v>5.9</v>
      </c>
      <c r="O14" s="2">
        <v>1</v>
      </c>
      <c r="P14" s="2" t="s">
        <v>14</v>
      </c>
      <c r="Q14" s="2">
        <v>1</v>
      </c>
      <c r="R14" s="2" t="s">
        <v>14</v>
      </c>
      <c r="S14" s="2">
        <v>1</v>
      </c>
      <c r="T14" s="2" t="s">
        <v>14</v>
      </c>
      <c r="U14" s="4">
        <v>20</v>
      </c>
    </row>
    <row r="15" spans="1:21" x14ac:dyDescent="0.25">
      <c r="A15" s="1">
        <v>14</v>
      </c>
      <c r="B15" s="2">
        <v>1</v>
      </c>
      <c r="C15" s="2" t="s">
        <v>2</v>
      </c>
      <c r="D15" s="4">
        <v>178</v>
      </c>
      <c r="E15" s="4">
        <v>76</v>
      </c>
      <c r="F15" s="2">
        <v>4</v>
      </c>
      <c r="G15" s="2" t="s">
        <v>7</v>
      </c>
      <c r="H15" s="4">
        <v>2</v>
      </c>
      <c r="I15" s="2">
        <v>0</v>
      </c>
      <c r="J15" s="2" t="s">
        <v>8</v>
      </c>
      <c r="K15" s="2">
        <v>1</v>
      </c>
      <c r="L15" s="2" t="s">
        <v>13</v>
      </c>
      <c r="M15" s="4">
        <v>5.6</v>
      </c>
      <c r="N15" s="4">
        <v>6.8</v>
      </c>
      <c r="O15" s="2">
        <v>1</v>
      </c>
      <c r="P15" s="2" t="s">
        <v>14</v>
      </c>
      <c r="Q15" s="2">
        <v>1</v>
      </c>
      <c r="R15" s="2" t="s">
        <v>14</v>
      </c>
      <c r="S15" s="2">
        <v>1</v>
      </c>
      <c r="T15" s="2" t="s">
        <v>14</v>
      </c>
      <c r="U15" s="4">
        <v>7</v>
      </c>
    </row>
    <row r="16" spans="1:21" x14ac:dyDescent="0.25">
      <c r="A16" s="1">
        <v>15</v>
      </c>
      <c r="B16" s="2">
        <v>0</v>
      </c>
      <c r="C16" s="2" t="s">
        <v>1</v>
      </c>
      <c r="D16" s="4">
        <v>163</v>
      </c>
      <c r="E16" s="4">
        <v>50</v>
      </c>
      <c r="F16" s="2">
        <v>0</v>
      </c>
      <c r="G16" s="2" t="s">
        <v>3</v>
      </c>
      <c r="H16" s="4">
        <v>2</v>
      </c>
      <c r="I16" s="2">
        <v>0</v>
      </c>
      <c r="J16" s="2" t="s">
        <v>8</v>
      </c>
      <c r="K16" s="2">
        <v>0</v>
      </c>
      <c r="L16" s="2" t="s">
        <v>12</v>
      </c>
      <c r="M16" s="4">
        <v>6</v>
      </c>
      <c r="N16" s="4">
        <v>7</v>
      </c>
      <c r="O16" s="2">
        <v>1</v>
      </c>
      <c r="P16" s="2" t="s">
        <v>14</v>
      </c>
      <c r="Q16" s="2">
        <v>1</v>
      </c>
      <c r="R16" s="2" t="s">
        <v>14</v>
      </c>
      <c r="S16" s="2">
        <v>1</v>
      </c>
      <c r="T16" s="2" t="s">
        <v>14</v>
      </c>
      <c r="U16" s="4">
        <v>5</v>
      </c>
    </row>
    <row r="17" spans="1:21" x14ac:dyDescent="0.25">
      <c r="A17" s="1">
        <v>16</v>
      </c>
      <c r="B17" s="2">
        <v>1</v>
      </c>
      <c r="C17" s="2" t="s">
        <v>2</v>
      </c>
      <c r="D17" s="4">
        <v>173</v>
      </c>
      <c r="E17" s="4">
        <v>69</v>
      </c>
      <c r="F17" s="2">
        <v>0</v>
      </c>
      <c r="G17" s="2" t="s">
        <v>3</v>
      </c>
      <c r="H17" s="4">
        <v>2</v>
      </c>
      <c r="I17" s="2">
        <v>0</v>
      </c>
      <c r="J17" s="2" t="s">
        <v>8</v>
      </c>
      <c r="K17" s="2">
        <v>1</v>
      </c>
      <c r="L17" s="2" t="s">
        <v>13</v>
      </c>
      <c r="M17" s="4">
        <v>7.5</v>
      </c>
      <c r="N17" s="4">
        <v>7.4</v>
      </c>
      <c r="O17" s="2">
        <v>1</v>
      </c>
      <c r="P17" s="2" t="s">
        <v>14</v>
      </c>
      <c r="Q17" s="2">
        <v>1</v>
      </c>
      <c r="R17" s="2" t="s">
        <v>14</v>
      </c>
      <c r="S17" s="2">
        <v>1</v>
      </c>
      <c r="T17" s="2" t="s">
        <v>14</v>
      </c>
      <c r="U17" s="4">
        <v>35</v>
      </c>
    </row>
    <row r="18" spans="1:21" x14ac:dyDescent="0.25">
      <c r="A18" s="1">
        <v>17</v>
      </c>
      <c r="B18" s="2">
        <v>0</v>
      </c>
      <c r="C18" s="2" t="s">
        <v>1</v>
      </c>
      <c r="D18" s="4">
        <v>160</v>
      </c>
      <c r="E18" s="4">
        <v>50</v>
      </c>
      <c r="F18" s="2">
        <v>1</v>
      </c>
      <c r="G18" s="2" t="s">
        <v>4</v>
      </c>
      <c r="H18" s="4">
        <v>2</v>
      </c>
      <c r="I18" s="2">
        <v>0</v>
      </c>
      <c r="J18" s="2" t="s">
        <v>8</v>
      </c>
      <c r="K18" s="2">
        <v>0</v>
      </c>
      <c r="L18" s="2" t="s">
        <v>12</v>
      </c>
      <c r="M18" s="4">
        <v>6</v>
      </c>
      <c r="N18" s="4">
        <v>6</v>
      </c>
      <c r="O18" s="2">
        <v>0</v>
      </c>
      <c r="P18" s="2" t="s">
        <v>15</v>
      </c>
      <c r="Q18" s="2">
        <v>1</v>
      </c>
      <c r="R18" s="2" t="s">
        <v>14</v>
      </c>
      <c r="S18" s="2">
        <v>1</v>
      </c>
      <c r="T18" s="2" t="s">
        <v>14</v>
      </c>
      <c r="U18" s="4">
        <v>1</v>
      </c>
    </row>
    <row r="19" spans="1:21" x14ac:dyDescent="0.25">
      <c r="A19" s="1">
        <v>18</v>
      </c>
      <c r="B19" s="2">
        <v>1</v>
      </c>
      <c r="C19" s="2" t="s">
        <v>2</v>
      </c>
      <c r="D19" s="4">
        <v>184</v>
      </c>
      <c r="E19" s="4">
        <v>68</v>
      </c>
      <c r="F19" s="2">
        <v>3</v>
      </c>
      <c r="G19" s="2" t="s">
        <v>6</v>
      </c>
      <c r="H19" s="4">
        <v>2</v>
      </c>
      <c r="I19" s="2">
        <v>0</v>
      </c>
      <c r="J19" s="2" t="s">
        <v>8</v>
      </c>
      <c r="K19" s="2">
        <v>0</v>
      </c>
      <c r="L19" s="2" t="s">
        <v>12</v>
      </c>
      <c r="M19" s="4">
        <v>6.2</v>
      </c>
      <c r="N19" s="4">
        <v>8</v>
      </c>
      <c r="O19" s="2">
        <v>1</v>
      </c>
      <c r="P19" s="2" t="s">
        <v>14</v>
      </c>
      <c r="Q19" s="2">
        <v>1</v>
      </c>
      <c r="R19" s="2" t="s">
        <v>14</v>
      </c>
      <c r="S19" s="2">
        <v>1</v>
      </c>
      <c r="T19" s="2" t="s">
        <v>14</v>
      </c>
      <c r="U19" s="4">
        <v>4</v>
      </c>
    </row>
    <row r="20" spans="1:21" x14ac:dyDescent="0.25">
      <c r="A20" s="1">
        <v>19</v>
      </c>
      <c r="B20" s="2">
        <v>0</v>
      </c>
      <c r="C20" s="2" t="s">
        <v>1</v>
      </c>
      <c r="D20" s="4">
        <v>162</v>
      </c>
      <c r="E20" s="4">
        <v>57</v>
      </c>
      <c r="F20" s="2">
        <v>1</v>
      </c>
      <c r="G20" s="2" t="s">
        <v>4</v>
      </c>
      <c r="H20" s="4">
        <v>3</v>
      </c>
      <c r="I20" s="2">
        <v>0</v>
      </c>
      <c r="J20" s="2" t="s">
        <v>8</v>
      </c>
      <c r="K20" s="2">
        <v>1</v>
      </c>
      <c r="L20" s="2" t="s">
        <v>13</v>
      </c>
      <c r="M20" s="4">
        <v>6.8</v>
      </c>
      <c r="N20" s="4">
        <v>6.5</v>
      </c>
      <c r="O20" s="2">
        <v>1</v>
      </c>
      <c r="P20" s="2" t="s">
        <v>14</v>
      </c>
      <c r="Q20" s="2">
        <v>1</v>
      </c>
      <c r="R20" s="2" t="s">
        <v>14</v>
      </c>
      <c r="S20" s="2">
        <v>1</v>
      </c>
      <c r="T20" s="2" t="s">
        <v>14</v>
      </c>
      <c r="U20" s="4">
        <v>4</v>
      </c>
    </row>
    <row r="21" spans="1:21" x14ac:dyDescent="0.25">
      <c r="A21" s="1">
        <v>20</v>
      </c>
      <c r="B21" s="2">
        <v>0</v>
      </c>
      <c r="C21" s="2" t="s">
        <v>1</v>
      </c>
      <c r="D21" s="4">
        <v>165</v>
      </c>
      <c r="E21" s="4">
        <v>56</v>
      </c>
      <c r="F21" s="2">
        <v>2</v>
      </c>
      <c r="G21" s="2" t="s">
        <v>5</v>
      </c>
      <c r="H21" s="4">
        <v>3</v>
      </c>
      <c r="I21" s="2">
        <v>2</v>
      </c>
      <c r="J21" s="2" t="s">
        <v>10</v>
      </c>
      <c r="K21" s="2">
        <v>0</v>
      </c>
      <c r="L21" s="2" t="s">
        <v>12</v>
      </c>
      <c r="M21" s="4">
        <v>8.5</v>
      </c>
      <c r="N21" s="4">
        <v>10.5</v>
      </c>
      <c r="O21" s="2">
        <v>1</v>
      </c>
      <c r="P21" s="2" t="s">
        <v>14</v>
      </c>
      <c r="Q21" s="2">
        <v>1</v>
      </c>
      <c r="R21" s="2" t="s">
        <v>14</v>
      </c>
      <c r="S21" s="2">
        <v>1</v>
      </c>
      <c r="T21" s="2" t="s">
        <v>14</v>
      </c>
      <c r="U21" s="4">
        <v>14</v>
      </c>
    </row>
    <row r="22" spans="1:21" x14ac:dyDescent="0.25">
      <c r="A22" s="1">
        <v>21</v>
      </c>
      <c r="B22" s="2">
        <v>0</v>
      </c>
      <c r="C22" s="2" t="s">
        <v>1</v>
      </c>
      <c r="D22" s="4">
        <v>165</v>
      </c>
      <c r="E22" s="4">
        <v>50</v>
      </c>
      <c r="F22" s="2">
        <v>1</v>
      </c>
      <c r="G22" s="2" t="s">
        <v>4</v>
      </c>
      <c r="H22" s="4">
        <v>3</v>
      </c>
      <c r="I22" s="2">
        <v>2</v>
      </c>
      <c r="J22" s="2" t="s">
        <v>10</v>
      </c>
      <c r="K22" s="2">
        <v>0</v>
      </c>
      <c r="L22" s="2" t="s">
        <v>12</v>
      </c>
      <c r="M22" s="4">
        <v>9.5</v>
      </c>
      <c r="N22" s="4">
        <v>12.1</v>
      </c>
      <c r="O22" s="2">
        <v>1</v>
      </c>
      <c r="P22" s="2" t="s">
        <v>14</v>
      </c>
      <c r="Q22" s="2">
        <v>1</v>
      </c>
      <c r="R22" s="2" t="s">
        <v>14</v>
      </c>
      <c r="S22" s="2">
        <v>1</v>
      </c>
      <c r="T22" s="2" t="s">
        <v>14</v>
      </c>
      <c r="U22" s="4">
        <v>14</v>
      </c>
    </row>
    <row r="23" spans="1:21" x14ac:dyDescent="0.25">
      <c r="A23" s="1">
        <v>22</v>
      </c>
      <c r="B23" s="2">
        <v>1</v>
      </c>
      <c r="C23" s="2" t="s">
        <v>2</v>
      </c>
      <c r="D23" s="4">
        <v>172</v>
      </c>
      <c r="E23" s="4">
        <v>60</v>
      </c>
      <c r="F23" s="2">
        <v>2</v>
      </c>
      <c r="G23" s="2" t="s">
        <v>5</v>
      </c>
      <c r="H23" s="4"/>
      <c r="I23" s="2">
        <v>2</v>
      </c>
      <c r="J23" s="2" t="s">
        <v>10</v>
      </c>
      <c r="K23" s="2">
        <v>1</v>
      </c>
      <c r="L23" s="2" t="s">
        <v>13</v>
      </c>
      <c r="M23" s="4">
        <v>7</v>
      </c>
      <c r="N23" s="4">
        <v>7.8</v>
      </c>
      <c r="O23" s="2">
        <v>1</v>
      </c>
      <c r="P23" s="2" t="s">
        <v>14</v>
      </c>
      <c r="Q23" s="2">
        <v>1</v>
      </c>
      <c r="R23" s="2" t="s">
        <v>14</v>
      </c>
      <c r="S23" s="2">
        <v>1</v>
      </c>
      <c r="T23" s="2" t="s">
        <v>14</v>
      </c>
      <c r="U23" s="4">
        <v>20</v>
      </c>
    </row>
    <row r="24" spans="1:21" x14ac:dyDescent="0.25">
      <c r="A24" s="1">
        <v>23</v>
      </c>
      <c r="B24" s="2">
        <v>0</v>
      </c>
      <c r="C24" s="2" t="s">
        <v>1</v>
      </c>
      <c r="D24" s="16">
        <v>173</v>
      </c>
      <c r="E24" s="4">
        <v>59</v>
      </c>
      <c r="F24" s="2">
        <v>3</v>
      </c>
      <c r="G24" s="2" t="s">
        <v>6</v>
      </c>
      <c r="H24" s="4">
        <v>2</v>
      </c>
      <c r="I24" s="2">
        <v>0</v>
      </c>
      <c r="J24" s="2" t="s">
        <v>8</v>
      </c>
      <c r="K24" s="2">
        <v>0</v>
      </c>
      <c r="L24" s="2" t="s">
        <v>12</v>
      </c>
      <c r="M24" s="4">
        <v>9.1999999999999993</v>
      </c>
      <c r="N24" s="4">
        <v>10.5</v>
      </c>
      <c r="O24" s="2">
        <v>1</v>
      </c>
      <c r="P24" s="2" t="s">
        <v>14</v>
      </c>
      <c r="Q24" s="2">
        <v>1</v>
      </c>
      <c r="R24" s="2" t="s">
        <v>14</v>
      </c>
      <c r="S24" s="2">
        <v>1</v>
      </c>
      <c r="T24" s="2" t="s">
        <v>14</v>
      </c>
      <c r="U24" s="4">
        <v>6</v>
      </c>
    </row>
    <row r="25" spans="1:21" x14ac:dyDescent="0.25">
      <c r="A25" s="1">
        <v>24</v>
      </c>
      <c r="B25" s="2">
        <v>0</v>
      </c>
      <c r="C25" s="2" t="s">
        <v>1</v>
      </c>
      <c r="D25" s="4">
        <v>167</v>
      </c>
      <c r="E25" s="4">
        <v>61</v>
      </c>
      <c r="F25" s="2">
        <v>2</v>
      </c>
      <c r="G25" s="2" t="s">
        <v>5</v>
      </c>
      <c r="H25" s="4">
        <v>3</v>
      </c>
      <c r="I25" s="2">
        <v>0</v>
      </c>
      <c r="J25" s="2" t="s">
        <v>8</v>
      </c>
      <c r="K25" s="2">
        <v>1</v>
      </c>
      <c r="L25" s="2" t="s">
        <v>13</v>
      </c>
      <c r="M25" s="4">
        <v>6.6</v>
      </c>
      <c r="N25" s="4">
        <v>8.1999999999999993</v>
      </c>
      <c r="O25" s="2">
        <v>1</v>
      </c>
      <c r="P25" s="2" t="s">
        <v>14</v>
      </c>
      <c r="Q25" s="2">
        <v>1</v>
      </c>
      <c r="R25" s="2" t="s">
        <v>14</v>
      </c>
      <c r="S25" s="2">
        <v>1</v>
      </c>
      <c r="T25" s="2" t="s">
        <v>14</v>
      </c>
      <c r="U25" s="4">
        <v>14</v>
      </c>
    </row>
    <row r="26" spans="1:21" x14ac:dyDescent="0.25">
      <c r="A26" s="1">
        <v>25</v>
      </c>
      <c r="B26" s="2">
        <v>1</v>
      </c>
      <c r="C26" s="2" t="s">
        <v>2</v>
      </c>
      <c r="D26" s="16">
        <v>174</v>
      </c>
      <c r="E26" s="4">
        <v>59.8</v>
      </c>
      <c r="F26" s="2">
        <v>2</v>
      </c>
      <c r="G26" s="2" t="s">
        <v>5</v>
      </c>
      <c r="H26" s="4">
        <v>2</v>
      </c>
      <c r="I26" s="2">
        <v>0</v>
      </c>
      <c r="J26" s="2" t="s">
        <v>8</v>
      </c>
      <c r="K26" s="1"/>
      <c r="L26" s="1"/>
      <c r="M26" s="4">
        <v>7.56</v>
      </c>
      <c r="N26" s="4">
        <v>9.7200000000000006</v>
      </c>
      <c r="O26" s="2">
        <v>1</v>
      </c>
      <c r="P26" s="2" t="s">
        <v>14</v>
      </c>
      <c r="Q26" s="2">
        <v>1</v>
      </c>
      <c r="R26" s="2" t="s">
        <v>14</v>
      </c>
      <c r="S26" s="2">
        <v>1</v>
      </c>
      <c r="T26" s="2" t="s">
        <v>14</v>
      </c>
      <c r="U26" s="4">
        <v>2.6</v>
      </c>
    </row>
    <row r="27" spans="1:21" x14ac:dyDescent="0.25">
      <c r="A27" s="1">
        <v>26</v>
      </c>
      <c r="B27" s="2">
        <v>1</v>
      </c>
      <c r="C27" s="2" t="s">
        <v>2</v>
      </c>
      <c r="D27" s="4">
        <v>173</v>
      </c>
      <c r="E27" s="4">
        <v>73</v>
      </c>
      <c r="F27" s="2">
        <v>3</v>
      </c>
      <c r="G27" s="2" t="s">
        <v>6</v>
      </c>
      <c r="H27" s="4"/>
      <c r="I27" s="2">
        <v>0</v>
      </c>
      <c r="J27" s="2" t="s">
        <v>8</v>
      </c>
      <c r="K27" s="2">
        <v>1</v>
      </c>
      <c r="L27" s="2" t="s">
        <v>13</v>
      </c>
      <c r="M27" s="4">
        <v>6.5</v>
      </c>
      <c r="N27" s="4">
        <v>6.375</v>
      </c>
      <c r="O27" s="2">
        <v>1</v>
      </c>
      <c r="P27" s="2" t="s">
        <v>14</v>
      </c>
      <c r="Q27" s="2">
        <v>1</v>
      </c>
      <c r="R27" s="2" t="s">
        <v>14</v>
      </c>
      <c r="S27" s="2">
        <v>1</v>
      </c>
      <c r="T27" s="2" t="s">
        <v>14</v>
      </c>
      <c r="U27" s="4">
        <v>25</v>
      </c>
    </row>
    <row r="28" spans="1:21" x14ac:dyDescent="0.25">
      <c r="A28" s="1">
        <v>27</v>
      </c>
      <c r="B28" s="2">
        <v>1</v>
      </c>
      <c r="C28" s="2" t="s">
        <v>2</v>
      </c>
      <c r="D28" s="4">
        <v>171</v>
      </c>
      <c r="E28" s="4">
        <v>66</v>
      </c>
      <c r="F28" s="2">
        <v>2</v>
      </c>
      <c r="G28" s="2" t="s">
        <v>5</v>
      </c>
      <c r="H28" s="4">
        <v>2</v>
      </c>
      <c r="I28" s="2">
        <v>1</v>
      </c>
      <c r="J28" s="2" t="s">
        <v>9</v>
      </c>
      <c r="K28" s="2">
        <v>0</v>
      </c>
      <c r="L28" s="2" t="s">
        <v>12</v>
      </c>
      <c r="M28" s="4">
        <v>6.7</v>
      </c>
      <c r="N28" s="4">
        <v>8.73</v>
      </c>
      <c r="O28" s="2">
        <v>1</v>
      </c>
      <c r="P28" s="2" t="s">
        <v>14</v>
      </c>
      <c r="Q28" s="2">
        <v>1</v>
      </c>
      <c r="R28" s="2" t="s">
        <v>14</v>
      </c>
      <c r="S28" s="2">
        <v>1</v>
      </c>
      <c r="T28" s="2" t="s">
        <v>14</v>
      </c>
      <c r="U28" s="4">
        <v>15</v>
      </c>
    </row>
    <row r="29" spans="1:21" x14ac:dyDescent="0.25">
      <c r="A29" s="1">
        <v>28</v>
      </c>
      <c r="B29" s="2">
        <v>1</v>
      </c>
      <c r="C29" s="2" t="s">
        <v>2</v>
      </c>
      <c r="D29" s="4">
        <v>177</v>
      </c>
      <c r="E29" s="4">
        <v>65</v>
      </c>
      <c r="F29" s="2">
        <v>2</v>
      </c>
      <c r="G29" s="2" t="s">
        <v>5</v>
      </c>
      <c r="H29" s="4">
        <v>2</v>
      </c>
      <c r="I29" s="2">
        <v>0</v>
      </c>
      <c r="J29" s="2" t="s">
        <v>8</v>
      </c>
      <c r="K29" s="2">
        <v>1</v>
      </c>
      <c r="L29" s="2" t="s">
        <v>13</v>
      </c>
      <c r="M29" s="4">
        <v>6</v>
      </c>
      <c r="N29" s="4">
        <v>8</v>
      </c>
      <c r="O29" s="2">
        <v>1</v>
      </c>
      <c r="P29" s="2" t="s">
        <v>14</v>
      </c>
      <c r="Q29" s="2">
        <v>1</v>
      </c>
      <c r="R29" s="2" t="s">
        <v>14</v>
      </c>
      <c r="S29" s="2">
        <v>1</v>
      </c>
      <c r="T29" s="2" t="s">
        <v>14</v>
      </c>
      <c r="U29" s="4">
        <v>5</v>
      </c>
    </row>
    <row r="30" spans="1:21" x14ac:dyDescent="0.25">
      <c r="A30" s="1">
        <v>29</v>
      </c>
      <c r="B30" s="2">
        <v>0</v>
      </c>
      <c r="C30" s="2" t="s">
        <v>1</v>
      </c>
      <c r="D30" s="4">
        <v>170</v>
      </c>
      <c r="E30" s="4">
        <v>59</v>
      </c>
      <c r="F30" s="2">
        <v>2</v>
      </c>
      <c r="G30" s="2" t="s">
        <v>5</v>
      </c>
      <c r="H30" s="4">
        <v>2</v>
      </c>
      <c r="I30" s="2">
        <v>0</v>
      </c>
      <c r="J30" s="2" t="s">
        <v>8</v>
      </c>
      <c r="K30" s="2">
        <v>1</v>
      </c>
      <c r="L30" s="2" t="s">
        <v>13</v>
      </c>
      <c r="M30" s="4">
        <v>7</v>
      </c>
      <c r="N30" s="4">
        <v>8.2349999999999994</v>
      </c>
      <c r="O30" s="2">
        <v>0</v>
      </c>
      <c r="P30" s="2" t="s">
        <v>15</v>
      </c>
      <c r="Q30" s="2">
        <v>1</v>
      </c>
      <c r="R30" s="2" t="s">
        <v>14</v>
      </c>
      <c r="S30" s="2">
        <v>1</v>
      </c>
      <c r="T30" s="2" t="s">
        <v>14</v>
      </c>
      <c r="U30" s="4">
        <v>3</v>
      </c>
    </row>
    <row r="31" spans="1:21" x14ac:dyDescent="0.25">
      <c r="A31" s="1">
        <v>30</v>
      </c>
      <c r="B31" s="2">
        <v>0</v>
      </c>
      <c r="C31" s="2" t="s">
        <v>1</v>
      </c>
      <c r="D31" s="4">
        <v>163.5</v>
      </c>
      <c r="E31" s="4">
        <v>42.5</v>
      </c>
      <c r="F31" s="2">
        <v>4</v>
      </c>
      <c r="G31" s="2" t="s">
        <v>7</v>
      </c>
      <c r="H31" s="4">
        <v>1</v>
      </c>
      <c r="I31" s="2">
        <v>2</v>
      </c>
      <c r="J31" s="2" t="s">
        <v>10</v>
      </c>
      <c r="K31" s="2">
        <v>0</v>
      </c>
      <c r="L31" s="2" t="s">
        <v>12</v>
      </c>
      <c r="M31" s="4">
        <v>9.9</v>
      </c>
      <c r="N31" s="4">
        <v>12.5</v>
      </c>
      <c r="O31" s="2">
        <v>1</v>
      </c>
      <c r="P31" s="2" t="s">
        <v>14</v>
      </c>
      <c r="Q31" s="2">
        <v>1</v>
      </c>
      <c r="R31" s="2" t="s">
        <v>14</v>
      </c>
      <c r="S31" s="2">
        <v>1</v>
      </c>
      <c r="T31" s="2" t="s">
        <v>14</v>
      </c>
      <c r="U31" s="4">
        <v>8</v>
      </c>
    </row>
    <row r="32" spans="1:21" x14ac:dyDescent="0.25">
      <c r="A32" s="1">
        <v>31</v>
      </c>
      <c r="B32" s="2">
        <v>0</v>
      </c>
      <c r="C32" s="2" t="s">
        <v>1</v>
      </c>
      <c r="D32" s="4">
        <v>150</v>
      </c>
      <c r="E32" s="4">
        <v>45</v>
      </c>
      <c r="F32" s="2">
        <v>1</v>
      </c>
      <c r="G32" s="2" t="s">
        <v>4</v>
      </c>
      <c r="H32" s="4">
        <v>2</v>
      </c>
      <c r="I32" s="2">
        <v>0</v>
      </c>
      <c r="J32" s="2" t="s">
        <v>8</v>
      </c>
      <c r="K32" s="2">
        <v>0</v>
      </c>
      <c r="L32" s="2" t="s">
        <v>12</v>
      </c>
      <c r="M32" s="4">
        <v>6.5</v>
      </c>
      <c r="N32" s="4">
        <v>7.5</v>
      </c>
      <c r="O32" s="2">
        <v>1</v>
      </c>
      <c r="P32" s="2" t="s">
        <v>14</v>
      </c>
      <c r="Q32" s="2">
        <v>1</v>
      </c>
      <c r="R32" s="2" t="s">
        <v>14</v>
      </c>
      <c r="S32" s="2">
        <v>1</v>
      </c>
      <c r="T32" s="2" t="s">
        <v>14</v>
      </c>
      <c r="U32" s="4">
        <v>21</v>
      </c>
    </row>
    <row r="33" spans="1:21" x14ac:dyDescent="0.25">
      <c r="A33" s="1">
        <v>32</v>
      </c>
      <c r="B33" s="2">
        <v>1</v>
      </c>
      <c r="C33" s="2" t="s">
        <v>2</v>
      </c>
      <c r="D33" s="4">
        <v>175</v>
      </c>
      <c r="E33" s="4">
        <v>65</v>
      </c>
      <c r="F33" s="2">
        <v>3</v>
      </c>
      <c r="G33" s="2" t="s">
        <v>6</v>
      </c>
      <c r="H33" s="4">
        <v>2</v>
      </c>
      <c r="I33" s="2">
        <v>0</v>
      </c>
      <c r="J33" s="2" t="s">
        <v>8</v>
      </c>
      <c r="K33" s="2">
        <v>0</v>
      </c>
      <c r="L33" s="2" t="s">
        <v>12</v>
      </c>
      <c r="M33" s="4">
        <v>7</v>
      </c>
      <c r="N33" s="4">
        <v>9</v>
      </c>
      <c r="O33" s="2">
        <v>1</v>
      </c>
      <c r="P33" s="2" t="s">
        <v>14</v>
      </c>
      <c r="Q33" s="2">
        <v>1</v>
      </c>
      <c r="R33" s="2" t="s">
        <v>14</v>
      </c>
      <c r="S33" s="2">
        <v>1</v>
      </c>
      <c r="T33" s="2" t="s">
        <v>14</v>
      </c>
      <c r="U33" s="4">
        <v>30</v>
      </c>
    </row>
    <row r="34" spans="1:21" x14ac:dyDescent="0.25">
      <c r="A34" s="1">
        <v>33</v>
      </c>
      <c r="B34" s="2">
        <v>1</v>
      </c>
      <c r="C34" s="2" t="s">
        <v>2</v>
      </c>
      <c r="D34" s="4">
        <v>180</v>
      </c>
      <c r="E34" s="4">
        <v>70</v>
      </c>
      <c r="F34" s="2">
        <v>1</v>
      </c>
      <c r="G34" s="2" t="s">
        <v>4</v>
      </c>
      <c r="H34" s="4">
        <v>2</v>
      </c>
      <c r="I34" s="2">
        <v>1</v>
      </c>
      <c r="J34" s="2" t="s">
        <v>9</v>
      </c>
      <c r="K34" s="2">
        <v>0</v>
      </c>
      <c r="L34" s="2" t="s">
        <v>12</v>
      </c>
      <c r="M34" s="4">
        <v>7</v>
      </c>
      <c r="N34" s="4">
        <v>7</v>
      </c>
      <c r="O34" s="2">
        <v>1</v>
      </c>
      <c r="P34" s="2" t="s">
        <v>14</v>
      </c>
      <c r="Q34" s="2">
        <v>1</v>
      </c>
      <c r="R34" s="2" t="s">
        <v>14</v>
      </c>
      <c r="S34" s="2">
        <v>1</v>
      </c>
      <c r="T34" s="2" t="s">
        <v>14</v>
      </c>
      <c r="U34" s="4">
        <v>3</v>
      </c>
    </row>
    <row r="35" spans="1:21" x14ac:dyDescent="0.25">
      <c r="A35" s="1">
        <v>34</v>
      </c>
      <c r="B35" s="2">
        <v>1</v>
      </c>
      <c r="C35" s="2" t="s">
        <v>2</v>
      </c>
      <c r="D35" s="4">
        <v>185</v>
      </c>
      <c r="E35" s="16"/>
      <c r="F35" s="17"/>
      <c r="G35" s="17"/>
      <c r="H35" s="16"/>
      <c r="I35" s="17"/>
      <c r="J35" s="17"/>
      <c r="K35" s="17"/>
      <c r="L35" s="17"/>
      <c r="M35" s="16"/>
      <c r="N35" s="16"/>
      <c r="O35" s="17"/>
      <c r="P35" s="17"/>
      <c r="Q35" s="17"/>
      <c r="R35" s="17"/>
      <c r="S35" s="17"/>
      <c r="T35" s="17"/>
      <c r="U35" s="16"/>
    </row>
    <row r="36" spans="1:21" x14ac:dyDescent="0.25">
      <c r="A36" s="1">
        <v>35</v>
      </c>
      <c r="B36" s="2">
        <v>1</v>
      </c>
      <c r="C36" s="2" t="s">
        <v>2</v>
      </c>
      <c r="D36" s="4">
        <v>172</v>
      </c>
      <c r="E36" s="4">
        <v>67</v>
      </c>
      <c r="F36" s="2">
        <v>2</v>
      </c>
      <c r="G36" s="2" t="s">
        <v>5</v>
      </c>
      <c r="H36" s="4">
        <v>2</v>
      </c>
      <c r="I36" s="2">
        <v>0</v>
      </c>
      <c r="J36" s="2" t="s">
        <v>8</v>
      </c>
      <c r="K36" s="2">
        <v>1</v>
      </c>
      <c r="L36" s="2" t="s">
        <v>13</v>
      </c>
      <c r="M36" s="4">
        <v>5.5</v>
      </c>
      <c r="N36" s="4">
        <v>5.2</v>
      </c>
      <c r="O36" s="2">
        <v>1</v>
      </c>
      <c r="P36" s="2" t="s">
        <v>14</v>
      </c>
      <c r="Q36" s="2">
        <v>1</v>
      </c>
      <c r="R36" s="2" t="s">
        <v>14</v>
      </c>
      <c r="S36" s="2">
        <v>1</v>
      </c>
      <c r="T36" s="2" t="s">
        <v>14</v>
      </c>
      <c r="U36" s="4">
        <v>15</v>
      </c>
    </row>
    <row r="37" spans="1:21" x14ac:dyDescent="0.25">
      <c r="A37" s="1">
        <v>36</v>
      </c>
      <c r="B37" s="2">
        <v>0</v>
      </c>
      <c r="C37" s="2" t="s">
        <v>1</v>
      </c>
      <c r="D37" s="4">
        <v>185</v>
      </c>
      <c r="E37" s="4">
        <v>85</v>
      </c>
      <c r="F37" s="2">
        <v>2</v>
      </c>
      <c r="G37" s="2" t="s">
        <v>5</v>
      </c>
      <c r="H37" s="4">
        <v>2</v>
      </c>
      <c r="I37" s="2">
        <v>2</v>
      </c>
      <c r="J37" s="2" t="s">
        <v>10</v>
      </c>
      <c r="K37" s="2">
        <v>0</v>
      </c>
      <c r="L37" s="2" t="s">
        <v>12</v>
      </c>
      <c r="M37" s="4">
        <v>8.4</v>
      </c>
      <c r="N37" s="4">
        <v>8.9</v>
      </c>
      <c r="O37" s="2">
        <v>1</v>
      </c>
      <c r="P37" s="2" t="s">
        <v>14</v>
      </c>
      <c r="Q37" s="2">
        <v>1</v>
      </c>
      <c r="R37" s="2" t="s">
        <v>14</v>
      </c>
      <c r="S37" s="2">
        <v>1</v>
      </c>
      <c r="T37" s="2" t="s">
        <v>14</v>
      </c>
      <c r="U37" s="4">
        <v>5</v>
      </c>
    </row>
    <row r="38" spans="1:21" x14ac:dyDescent="0.25">
      <c r="A38" s="1">
        <v>37</v>
      </c>
      <c r="B38" s="2">
        <v>0</v>
      </c>
      <c r="C38" s="2" t="s">
        <v>1</v>
      </c>
      <c r="D38" s="4">
        <v>167</v>
      </c>
      <c r="E38" s="4">
        <v>48</v>
      </c>
      <c r="F38" s="2">
        <v>1</v>
      </c>
      <c r="G38" s="2" t="s">
        <v>4</v>
      </c>
      <c r="H38" s="4">
        <v>2</v>
      </c>
      <c r="I38" s="2">
        <v>0</v>
      </c>
      <c r="J38" s="2" t="s">
        <v>8</v>
      </c>
      <c r="K38" s="2">
        <v>0</v>
      </c>
      <c r="L38" s="2" t="s">
        <v>12</v>
      </c>
      <c r="M38" s="4">
        <v>6.21</v>
      </c>
      <c r="N38" s="4">
        <v>8.1</v>
      </c>
      <c r="O38" s="2">
        <v>1</v>
      </c>
      <c r="P38" s="2" t="s">
        <v>14</v>
      </c>
      <c r="Q38" s="2">
        <v>1</v>
      </c>
      <c r="R38" s="2" t="s">
        <v>14</v>
      </c>
      <c r="S38" s="2">
        <v>1</v>
      </c>
      <c r="T38" s="2" t="s">
        <v>14</v>
      </c>
      <c r="U38" s="4">
        <v>10</v>
      </c>
    </row>
    <row r="39" spans="1:21" x14ac:dyDescent="0.25">
      <c r="A39" s="1">
        <v>38</v>
      </c>
      <c r="B39" s="2">
        <v>0</v>
      </c>
      <c r="C39" s="2" t="s">
        <v>1</v>
      </c>
      <c r="D39" s="4">
        <v>165</v>
      </c>
      <c r="E39" s="4">
        <v>57</v>
      </c>
      <c r="F39" s="2">
        <v>1</v>
      </c>
      <c r="G39" s="2" t="s">
        <v>4</v>
      </c>
      <c r="H39" s="4">
        <v>3</v>
      </c>
      <c r="I39" s="2">
        <v>0</v>
      </c>
      <c r="J39" s="2" t="s">
        <v>8</v>
      </c>
      <c r="K39" s="2">
        <v>0</v>
      </c>
      <c r="L39" s="2" t="s">
        <v>12</v>
      </c>
      <c r="M39" s="4">
        <v>5.6</v>
      </c>
      <c r="N39" s="4">
        <v>7.9</v>
      </c>
      <c r="O39" s="2">
        <v>1</v>
      </c>
      <c r="P39" s="2" t="s">
        <v>14</v>
      </c>
      <c r="Q39" s="2">
        <v>1</v>
      </c>
      <c r="R39" s="2" t="s">
        <v>14</v>
      </c>
      <c r="S39" s="2">
        <v>1</v>
      </c>
      <c r="T39" s="2" t="s">
        <v>14</v>
      </c>
      <c r="U39" s="4">
        <v>10</v>
      </c>
    </row>
    <row r="40" spans="1:21" x14ac:dyDescent="0.25">
      <c r="A40" s="1">
        <v>39</v>
      </c>
      <c r="B40" s="2">
        <v>0</v>
      </c>
      <c r="C40" s="2" t="s">
        <v>1</v>
      </c>
      <c r="D40" s="4">
        <v>165</v>
      </c>
      <c r="E40" s="4">
        <v>58</v>
      </c>
      <c r="F40" s="2">
        <v>2</v>
      </c>
      <c r="G40" s="2" t="s">
        <v>5</v>
      </c>
      <c r="H40" s="4">
        <v>3</v>
      </c>
      <c r="I40" s="2">
        <v>0</v>
      </c>
      <c r="J40" s="2" t="s">
        <v>8</v>
      </c>
      <c r="K40" s="2">
        <v>0</v>
      </c>
      <c r="L40" s="2" t="s">
        <v>12</v>
      </c>
      <c r="M40" s="4">
        <v>6.1</v>
      </c>
      <c r="N40" s="4">
        <v>6.69</v>
      </c>
      <c r="O40" s="2">
        <v>1</v>
      </c>
      <c r="P40" s="2" t="s">
        <v>14</v>
      </c>
      <c r="Q40" s="2">
        <v>1</v>
      </c>
      <c r="R40" s="2" t="s">
        <v>14</v>
      </c>
      <c r="S40" s="2">
        <v>1</v>
      </c>
      <c r="T40" s="2" t="s">
        <v>14</v>
      </c>
      <c r="U40" s="4">
        <v>10</v>
      </c>
    </row>
    <row r="41" spans="1:21" x14ac:dyDescent="0.25">
      <c r="A41" s="1">
        <v>40</v>
      </c>
      <c r="B41" s="2">
        <v>0</v>
      </c>
      <c r="C41" s="2" t="s">
        <v>1</v>
      </c>
      <c r="D41" s="4">
        <v>163</v>
      </c>
      <c r="E41" s="4">
        <v>58</v>
      </c>
      <c r="F41" s="2">
        <v>2</v>
      </c>
      <c r="G41" s="2" t="s">
        <v>5</v>
      </c>
      <c r="H41" s="4">
        <v>3</v>
      </c>
      <c r="I41" s="2">
        <v>0</v>
      </c>
      <c r="J41" s="2" t="s">
        <v>8</v>
      </c>
      <c r="K41" s="2">
        <v>0</v>
      </c>
      <c r="L41" s="2" t="s">
        <v>12</v>
      </c>
      <c r="M41" s="4">
        <v>7.8</v>
      </c>
      <c r="N41" s="4">
        <v>10.9</v>
      </c>
      <c r="O41" s="2">
        <v>1</v>
      </c>
      <c r="P41" s="2" t="s">
        <v>14</v>
      </c>
      <c r="Q41" s="2">
        <v>1</v>
      </c>
      <c r="R41" s="2" t="s">
        <v>14</v>
      </c>
      <c r="S41" s="2">
        <v>1</v>
      </c>
      <c r="T41" s="2" t="s">
        <v>14</v>
      </c>
      <c r="U41" s="4">
        <v>15</v>
      </c>
    </row>
    <row r="42" spans="1:21" x14ac:dyDescent="0.25">
      <c r="A42" s="1">
        <v>41</v>
      </c>
      <c r="B42" s="2">
        <v>1</v>
      </c>
      <c r="C42" s="2" t="s">
        <v>2</v>
      </c>
      <c r="D42" s="4">
        <v>183</v>
      </c>
      <c r="E42" s="4">
        <v>78</v>
      </c>
      <c r="F42" s="2">
        <v>4</v>
      </c>
      <c r="G42" s="2" t="s">
        <v>7</v>
      </c>
      <c r="H42" s="4">
        <v>1</v>
      </c>
      <c r="I42" s="2">
        <v>0</v>
      </c>
      <c r="J42" s="2" t="s">
        <v>8</v>
      </c>
      <c r="K42" s="2">
        <v>1</v>
      </c>
      <c r="L42" s="2" t="s">
        <v>13</v>
      </c>
      <c r="M42" s="4">
        <v>7.1</v>
      </c>
      <c r="N42" s="4">
        <v>9.1999999999999993</v>
      </c>
      <c r="O42" s="2">
        <v>1</v>
      </c>
      <c r="P42" s="2" t="s">
        <v>14</v>
      </c>
      <c r="Q42" s="2">
        <v>1</v>
      </c>
      <c r="R42" s="2" t="s">
        <v>14</v>
      </c>
      <c r="S42" s="2">
        <v>1</v>
      </c>
      <c r="T42" s="2" t="s">
        <v>14</v>
      </c>
      <c r="U42" s="4">
        <v>35</v>
      </c>
    </row>
    <row r="43" spans="1:21" x14ac:dyDescent="0.25">
      <c r="A43" s="1">
        <v>42</v>
      </c>
      <c r="B43" s="2">
        <v>0</v>
      </c>
      <c r="C43" s="2" t="s">
        <v>1</v>
      </c>
      <c r="D43" s="4">
        <v>165</v>
      </c>
      <c r="E43" s="4">
        <v>50</v>
      </c>
      <c r="F43" s="2">
        <v>2</v>
      </c>
      <c r="G43" s="2" t="s">
        <v>5</v>
      </c>
      <c r="H43" s="4">
        <v>5</v>
      </c>
      <c r="I43" s="2">
        <v>0</v>
      </c>
      <c r="J43" s="2" t="s">
        <v>8</v>
      </c>
      <c r="K43" s="2">
        <v>0</v>
      </c>
      <c r="L43" s="2" t="s">
        <v>12</v>
      </c>
      <c r="M43" s="4">
        <v>6.01</v>
      </c>
      <c r="N43" s="4">
        <v>5.3</v>
      </c>
      <c r="O43" s="2">
        <v>1</v>
      </c>
      <c r="P43" s="2" t="s">
        <v>14</v>
      </c>
      <c r="Q43" s="2">
        <v>1</v>
      </c>
      <c r="R43" s="2" t="s">
        <v>14</v>
      </c>
      <c r="S43" s="2">
        <v>1</v>
      </c>
      <c r="T43" s="2" t="s">
        <v>14</v>
      </c>
      <c r="U43" s="4">
        <v>20</v>
      </c>
    </row>
    <row r="44" spans="1:21" x14ac:dyDescent="0.25">
      <c r="A44" s="1">
        <v>43</v>
      </c>
      <c r="B44" s="2">
        <v>1</v>
      </c>
      <c r="C44" s="2" t="s">
        <v>2</v>
      </c>
      <c r="D44" s="4">
        <v>180</v>
      </c>
      <c r="E44" s="4">
        <v>71</v>
      </c>
      <c r="F44" s="2">
        <v>4</v>
      </c>
      <c r="G44" s="2" t="s">
        <v>7</v>
      </c>
      <c r="H44" s="4">
        <v>2</v>
      </c>
      <c r="I44" s="2">
        <v>0</v>
      </c>
      <c r="J44" s="2" t="s">
        <v>8</v>
      </c>
      <c r="K44" s="2">
        <v>0</v>
      </c>
      <c r="L44" s="2" t="s">
        <v>12</v>
      </c>
      <c r="M44" s="4">
        <v>5.6</v>
      </c>
      <c r="N44" s="4">
        <v>6.5</v>
      </c>
      <c r="O44" s="2">
        <v>1</v>
      </c>
      <c r="P44" s="2" t="s">
        <v>14</v>
      </c>
      <c r="Q44" s="2">
        <v>1</v>
      </c>
      <c r="R44" s="2" t="s">
        <v>14</v>
      </c>
      <c r="S44" s="2">
        <v>1</v>
      </c>
      <c r="T44" s="2" t="s">
        <v>14</v>
      </c>
      <c r="U44" s="4">
        <v>14</v>
      </c>
    </row>
    <row r="45" spans="1:21" x14ac:dyDescent="0.25">
      <c r="A45" s="1">
        <v>44</v>
      </c>
      <c r="B45" s="2">
        <v>1</v>
      </c>
      <c r="C45" s="2" t="s">
        <v>2</v>
      </c>
      <c r="D45" s="4">
        <v>171</v>
      </c>
      <c r="E45" s="4">
        <v>70</v>
      </c>
      <c r="F45" s="2">
        <v>3</v>
      </c>
      <c r="G45" s="2" t="s">
        <v>6</v>
      </c>
      <c r="H45" s="4">
        <v>1</v>
      </c>
      <c r="I45" s="2">
        <v>2</v>
      </c>
      <c r="J45" s="2" t="s">
        <v>10</v>
      </c>
      <c r="K45" s="2">
        <v>0</v>
      </c>
      <c r="L45" s="2" t="s">
        <v>12</v>
      </c>
      <c r="M45" s="4">
        <v>6.8</v>
      </c>
      <c r="N45" s="4">
        <v>9.1999999999999993</v>
      </c>
      <c r="O45" s="2">
        <v>1</v>
      </c>
      <c r="P45" s="2" t="s">
        <v>14</v>
      </c>
      <c r="Q45" s="2">
        <v>1</v>
      </c>
      <c r="R45" s="2" t="s">
        <v>14</v>
      </c>
      <c r="S45" s="2">
        <v>1</v>
      </c>
      <c r="T45" s="2" t="s">
        <v>14</v>
      </c>
      <c r="U45" s="4">
        <v>10</v>
      </c>
    </row>
    <row r="46" spans="1:21" x14ac:dyDescent="0.25">
      <c r="A46" s="1">
        <v>45</v>
      </c>
      <c r="B46" s="2">
        <v>0</v>
      </c>
      <c r="C46" s="2" t="s">
        <v>1</v>
      </c>
      <c r="D46" s="4">
        <v>165</v>
      </c>
      <c r="E46" s="4">
        <v>60</v>
      </c>
      <c r="F46" s="2">
        <v>1</v>
      </c>
      <c r="G46" s="2" t="s">
        <v>4</v>
      </c>
      <c r="H46" s="4">
        <v>2</v>
      </c>
      <c r="I46" s="2">
        <v>3</v>
      </c>
      <c r="J46" s="2" t="s">
        <v>11</v>
      </c>
      <c r="K46" s="2">
        <v>1</v>
      </c>
      <c r="L46" s="2" t="s">
        <v>13</v>
      </c>
      <c r="M46" s="4">
        <v>5.6</v>
      </c>
      <c r="N46" s="4">
        <v>6.8</v>
      </c>
      <c r="O46" s="2">
        <v>1</v>
      </c>
      <c r="P46" s="2" t="s">
        <v>14</v>
      </c>
      <c r="Q46" s="2">
        <v>1</v>
      </c>
      <c r="R46" s="2" t="s">
        <v>14</v>
      </c>
      <c r="S46" s="2">
        <v>1</v>
      </c>
      <c r="T46" s="2" t="s">
        <v>14</v>
      </c>
      <c r="U46" s="4">
        <v>5</v>
      </c>
    </row>
    <row r="47" spans="1:21" x14ac:dyDescent="0.25">
      <c r="A47" s="1">
        <v>46</v>
      </c>
      <c r="B47" s="2">
        <v>1</v>
      </c>
      <c r="C47" s="2" t="s">
        <v>2</v>
      </c>
      <c r="D47" s="4">
        <v>186</v>
      </c>
      <c r="E47" s="4">
        <v>71</v>
      </c>
      <c r="F47" s="2">
        <v>3</v>
      </c>
      <c r="G47" s="2" t="s">
        <v>6</v>
      </c>
      <c r="H47" s="4"/>
      <c r="I47" s="2">
        <v>0</v>
      </c>
      <c r="J47" s="2" t="s">
        <v>8</v>
      </c>
      <c r="K47" s="2">
        <v>1</v>
      </c>
      <c r="L47" s="2" t="s">
        <v>13</v>
      </c>
      <c r="M47" s="4">
        <v>7</v>
      </c>
      <c r="N47" s="4">
        <v>6</v>
      </c>
      <c r="O47" s="2">
        <v>1</v>
      </c>
      <c r="P47" s="2" t="s">
        <v>14</v>
      </c>
      <c r="Q47" s="2">
        <v>1</v>
      </c>
      <c r="R47" s="2" t="s">
        <v>14</v>
      </c>
      <c r="S47" s="2">
        <v>1</v>
      </c>
      <c r="T47" s="2" t="s">
        <v>14</v>
      </c>
      <c r="U47" s="4">
        <v>6</v>
      </c>
    </row>
    <row r="48" spans="1:21" x14ac:dyDescent="0.25">
      <c r="A48" s="1">
        <v>47</v>
      </c>
      <c r="B48" s="2">
        <v>1</v>
      </c>
      <c r="C48" s="2" t="s">
        <v>2</v>
      </c>
      <c r="D48" s="16">
        <v>187</v>
      </c>
      <c r="E48" s="4">
        <v>82</v>
      </c>
      <c r="F48" s="2">
        <v>4</v>
      </c>
      <c r="G48" s="2" t="s">
        <v>7</v>
      </c>
      <c r="H48" s="4">
        <v>3</v>
      </c>
      <c r="I48" s="2">
        <v>0</v>
      </c>
      <c r="J48" s="2" t="s">
        <v>8</v>
      </c>
      <c r="K48" s="2">
        <v>0</v>
      </c>
      <c r="L48" s="2" t="s">
        <v>12</v>
      </c>
      <c r="M48" s="4">
        <v>5.9</v>
      </c>
      <c r="N48" s="16"/>
      <c r="O48" s="2">
        <v>1</v>
      </c>
      <c r="P48" s="2" t="s">
        <v>14</v>
      </c>
      <c r="Q48" s="2">
        <v>1</v>
      </c>
      <c r="R48" s="2" t="s">
        <v>14</v>
      </c>
      <c r="S48" s="2">
        <v>1</v>
      </c>
      <c r="T48" s="2" t="s">
        <v>14</v>
      </c>
      <c r="U48" s="4">
        <v>2</v>
      </c>
    </row>
    <row r="49" spans="1:21" x14ac:dyDescent="0.25">
      <c r="A49" s="1">
        <v>48</v>
      </c>
      <c r="B49" s="2">
        <v>1</v>
      </c>
      <c r="C49" s="2" t="s">
        <v>2</v>
      </c>
      <c r="D49" s="16">
        <v>175</v>
      </c>
      <c r="E49" s="4">
        <v>70</v>
      </c>
      <c r="F49" s="2">
        <v>3</v>
      </c>
      <c r="G49" s="2" t="s">
        <v>6</v>
      </c>
      <c r="H49" s="4">
        <v>6</v>
      </c>
      <c r="I49" s="2">
        <v>0</v>
      </c>
      <c r="J49" s="2" t="s">
        <v>8</v>
      </c>
      <c r="K49" s="2">
        <v>1</v>
      </c>
      <c r="L49" s="2" t="s">
        <v>13</v>
      </c>
      <c r="M49" s="4">
        <v>5</v>
      </c>
      <c r="N49" s="4">
        <v>7</v>
      </c>
      <c r="O49" s="2">
        <v>1</v>
      </c>
      <c r="P49" s="2" t="s">
        <v>14</v>
      </c>
      <c r="Q49" s="2">
        <v>1</v>
      </c>
      <c r="R49" s="2" t="s">
        <v>14</v>
      </c>
      <c r="S49" s="2">
        <v>1</v>
      </c>
      <c r="T49" s="2" t="s">
        <v>14</v>
      </c>
      <c r="U49" s="4">
        <v>70</v>
      </c>
    </row>
    <row r="50" spans="1:21" x14ac:dyDescent="0.25">
      <c r="A50" s="1">
        <v>49</v>
      </c>
      <c r="B50" s="2">
        <v>1</v>
      </c>
      <c r="C50" s="2" t="s">
        <v>2</v>
      </c>
      <c r="D50" s="16">
        <v>180</v>
      </c>
      <c r="E50" s="4">
        <v>71</v>
      </c>
      <c r="F50" s="2">
        <v>2</v>
      </c>
      <c r="G50" s="2" t="s">
        <v>5</v>
      </c>
      <c r="H50" s="4">
        <v>2</v>
      </c>
      <c r="I50" s="2">
        <v>3</v>
      </c>
      <c r="J50" s="2" t="s">
        <v>11</v>
      </c>
      <c r="K50" s="2">
        <v>0</v>
      </c>
      <c r="L50" s="2" t="s">
        <v>12</v>
      </c>
      <c r="M50" s="4">
        <v>8</v>
      </c>
      <c r="N50" s="4">
        <v>9</v>
      </c>
      <c r="O50" s="2">
        <v>1</v>
      </c>
      <c r="P50" s="2" t="s">
        <v>14</v>
      </c>
      <c r="Q50" s="2">
        <v>1</v>
      </c>
      <c r="R50" s="2" t="s">
        <v>14</v>
      </c>
      <c r="S50" s="2">
        <v>1</v>
      </c>
      <c r="T50" s="2" t="s">
        <v>14</v>
      </c>
      <c r="U50" s="4">
        <v>10</v>
      </c>
    </row>
    <row r="51" spans="1:21" x14ac:dyDescent="0.25">
      <c r="A51" s="1">
        <v>50</v>
      </c>
      <c r="B51" s="2">
        <v>1</v>
      </c>
      <c r="C51" s="2" t="s">
        <v>2</v>
      </c>
      <c r="D51" s="16">
        <v>180</v>
      </c>
      <c r="E51" s="4">
        <v>70</v>
      </c>
      <c r="F51" s="2">
        <v>3</v>
      </c>
      <c r="G51" s="2" t="s">
        <v>6</v>
      </c>
      <c r="H51" s="4">
        <v>2</v>
      </c>
      <c r="I51" s="2">
        <v>0</v>
      </c>
      <c r="J51" s="2" t="s">
        <v>8</v>
      </c>
      <c r="K51" s="2">
        <v>0</v>
      </c>
      <c r="L51" s="2" t="s">
        <v>12</v>
      </c>
      <c r="M51" s="4">
        <v>6.2</v>
      </c>
      <c r="N51" s="4">
        <v>8.1</v>
      </c>
      <c r="O51" s="2">
        <v>1</v>
      </c>
      <c r="P51" s="2" t="s">
        <v>14</v>
      </c>
      <c r="Q51" s="2">
        <v>1</v>
      </c>
      <c r="R51" s="2" t="s">
        <v>14</v>
      </c>
      <c r="S51" s="2">
        <v>1</v>
      </c>
      <c r="T51" s="2" t="s">
        <v>14</v>
      </c>
      <c r="U51" s="4">
        <v>3</v>
      </c>
    </row>
    <row r="52" spans="1:21" x14ac:dyDescent="0.25">
      <c r="A52" s="1">
        <v>51</v>
      </c>
      <c r="B52" s="2">
        <v>1</v>
      </c>
      <c r="C52" s="2" t="s">
        <v>2</v>
      </c>
      <c r="D52" s="4">
        <v>168</v>
      </c>
      <c r="E52" s="4">
        <v>65</v>
      </c>
      <c r="F52" s="2">
        <v>3</v>
      </c>
      <c r="G52" s="2" t="s">
        <v>6</v>
      </c>
      <c r="H52" s="4">
        <v>2</v>
      </c>
      <c r="I52" s="2">
        <v>0</v>
      </c>
      <c r="J52" s="2" t="s">
        <v>8</v>
      </c>
      <c r="K52" s="2">
        <v>1</v>
      </c>
      <c r="L52" s="2" t="s">
        <v>13</v>
      </c>
      <c r="M52" s="4">
        <v>5.3</v>
      </c>
      <c r="N52" s="4">
        <v>7.2</v>
      </c>
      <c r="O52" s="2">
        <v>1</v>
      </c>
      <c r="P52" s="2" t="s">
        <v>14</v>
      </c>
      <c r="Q52" s="2">
        <v>1</v>
      </c>
      <c r="R52" s="2" t="s">
        <v>14</v>
      </c>
      <c r="S52" s="2">
        <v>1</v>
      </c>
      <c r="T52" s="2" t="s">
        <v>14</v>
      </c>
      <c r="U52" s="4">
        <v>7</v>
      </c>
    </row>
    <row r="53" spans="1:21" x14ac:dyDescent="0.25">
      <c r="A53" s="1">
        <v>52</v>
      </c>
      <c r="B53" s="2">
        <v>1</v>
      </c>
      <c r="C53" s="2" t="s">
        <v>2</v>
      </c>
      <c r="D53" s="4">
        <v>190</v>
      </c>
      <c r="E53" s="4">
        <v>75</v>
      </c>
      <c r="F53" s="2">
        <v>2</v>
      </c>
      <c r="G53" s="2" t="s">
        <v>5</v>
      </c>
      <c r="H53" s="4">
        <v>3</v>
      </c>
      <c r="I53" s="2">
        <v>3</v>
      </c>
      <c r="J53" s="2" t="s">
        <v>11</v>
      </c>
      <c r="K53" s="2">
        <v>0</v>
      </c>
      <c r="L53" s="2" t="s">
        <v>12</v>
      </c>
      <c r="M53" s="4">
        <v>6.72</v>
      </c>
      <c r="N53" s="4">
        <v>7.43</v>
      </c>
      <c r="O53" s="2">
        <v>1</v>
      </c>
      <c r="P53" s="2" t="s">
        <v>14</v>
      </c>
      <c r="Q53" s="2">
        <v>1</v>
      </c>
      <c r="R53" s="2" t="s">
        <v>14</v>
      </c>
      <c r="S53" s="2">
        <v>1</v>
      </c>
      <c r="T53" s="2" t="s">
        <v>14</v>
      </c>
      <c r="U53" s="4">
        <v>30</v>
      </c>
    </row>
    <row r="54" spans="1:21" x14ac:dyDescent="0.25">
      <c r="A54" s="1">
        <v>53</v>
      </c>
      <c r="B54" s="2">
        <v>0</v>
      </c>
      <c r="C54" s="2" t="s">
        <v>1</v>
      </c>
      <c r="D54" s="4">
        <v>187</v>
      </c>
      <c r="E54" s="4">
        <v>70</v>
      </c>
      <c r="F54" s="2">
        <v>2</v>
      </c>
      <c r="G54" s="2" t="s">
        <v>5</v>
      </c>
      <c r="H54" s="4">
        <v>2</v>
      </c>
      <c r="I54" s="2">
        <v>2</v>
      </c>
      <c r="J54" s="2" t="s">
        <v>10</v>
      </c>
      <c r="K54" s="2">
        <v>0</v>
      </c>
      <c r="L54" s="2" t="s">
        <v>12</v>
      </c>
      <c r="M54" s="4">
        <v>6</v>
      </c>
      <c r="N54" s="4">
        <v>10</v>
      </c>
      <c r="O54" s="2">
        <v>1</v>
      </c>
      <c r="P54" s="2" t="s">
        <v>14</v>
      </c>
      <c r="Q54" s="2">
        <v>1</v>
      </c>
      <c r="R54" s="2" t="s">
        <v>14</v>
      </c>
      <c r="S54" s="2">
        <v>1</v>
      </c>
      <c r="T54" s="2" t="s">
        <v>14</v>
      </c>
      <c r="U54" s="4">
        <v>1</v>
      </c>
    </row>
    <row r="55" spans="1:21" x14ac:dyDescent="0.25">
      <c r="A55" s="1">
        <v>54</v>
      </c>
      <c r="B55" s="2">
        <v>1</v>
      </c>
      <c r="C55" s="2" t="s">
        <v>2</v>
      </c>
      <c r="D55" s="4">
        <v>169</v>
      </c>
      <c r="E55" s="4">
        <v>72</v>
      </c>
      <c r="F55" s="2">
        <v>2</v>
      </c>
      <c r="G55" s="2" t="s">
        <v>5</v>
      </c>
      <c r="H55" s="4">
        <v>1</v>
      </c>
      <c r="I55" s="2">
        <v>3</v>
      </c>
      <c r="J55" s="2" t="s">
        <v>11</v>
      </c>
      <c r="K55" s="2">
        <v>1</v>
      </c>
      <c r="L55" s="2" t="s">
        <v>13</v>
      </c>
      <c r="M55" s="4">
        <v>6.7</v>
      </c>
      <c r="N55" s="4">
        <v>8.5</v>
      </c>
      <c r="O55" s="2">
        <v>1</v>
      </c>
      <c r="P55" s="2" t="s">
        <v>14</v>
      </c>
      <c r="Q55" s="2">
        <v>1</v>
      </c>
      <c r="R55" s="2" t="s">
        <v>14</v>
      </c>
      <c r="S55" s="2">
        <v>1</v>
      </c>
      <c r="T55" s="2" t="s">
        <v>14</v>
      </c>
      <c r="U55" s="4">
        <v>10</v>
      </c>
    </row>
    <row r="56" spans="1:21" x14ac:dyDescent="0.25">
      <c r="A56" s="1">
        <v>55</v>
      </c>
      <c r="B56" s="2">
        <v>1</v>
      </c>
      <c r="C56" s="2" t="s">
        <v>2</v>
      </c>
      <c r="D56" s="4">
        <v>175</v>
      </c>
      <c r="E56" s="4">
        <v>73</v>
      </c>
      <c r="F56" s="2">
        <v>3</v>
      </c>
      <c r="G56" s="2" t="s">
        <v>6</v>
      </c>
      <c r="H56" s="4">
        <v>2</v>
      </c>
      <c r="I56" s="2">
        <v>3</v>
      </c>
      <c r="J56" s="2" t="s">
        <v>11</v>
      </c>
      <c r="K56" s="2">
        <v>0</v>
      </c>
      <c r="L56" s="2" t="s">
        <v>12</v>
      </c>
      <c r="M56" s="4">
        <v>7</v>
      </c>
      <c r="N56" s="4">
        <v>9.8000000000000007</v>
      </c>
      <c r="O56" s="2">
        <v>1</v>
      </c>
      <c r="P56" s="2" t="s">
        <v>14</v>
      </c>
      <c r="Q56" s="2">
        <v>1</v>
      </c>
      <c r="R56" s="2" t="s">
        <v>14</v>
      </c>
      <c r="S56" s="2">
        <v>1</v>
      </c>
      <c r="T56" s="2" t="s">
        <v>14</v>
      </c>
      <c r="U56" s="4">
        <v>3</v>
      </c>
    </row>
    <row r="57" spans="1:21" x14ac:dyDescent="0.25">
      <c r="A57" s="1">
        <v>56</v>
      </c>
      <c r="B57" s="2">
        <v>1</v>
      </c>
      <c r="C57" s="2" t="s">
        <v>2</v>
      </c>
      <c r="D57" s="4">
        <v>165</v>
      </c>
      <c r="E57" s="4">
        <v>75</v>
      </c>
      <c r="F57" s="2">
        <v>1</v>
      </c>
      <c r="G57" s="2" t="s">
        <v>4</v>
      </c>
      <c r="H57" s="4">
        <v>3</v>
      </c>
      <c r="I57" s="2">
        <v>0</v>
      </c>
      <c r="J57" s="2" t="s">
        <v>8</v>
      </c>
      <c r="K57" s="2">
        <v>0</v>
      </c>
      <c r="L57" s="2" t="s">
        <v>12</v>
      </c>
      <c r="M57" s="16"/>
      <c r="N57" s="16"/>
      <c r="O57" s="2">
        <v>1</v>
      </c>
      <c r="P57" s="2" t="s">
        <v>14</v>
      </c>
      <c r="Q57" s="2">
        <v>1</v>
      </c>
      <c r="R57" s="2" t="s">
        <v>14</v>
      </c>
      <c r="S57" s="2">
        <v>0</v>
      </c>
      <c r="T57" s="2" t="s">
        <v>15</v>
      </c>
      <c r="U57" s="4">
        <v>0</v>
      </c>
    </row>
    <row r="58" spans="1:21" x14ac:dyDescent="0.25">
      <c r="A58" s="1">
        <v>57</v>
      </c>
      <c r="B58" s="2">
        <v>1</v>
      </c>
      <c r="C58" s="2" t="s">
        <v>2</v>
      </c>
      <c r="D58" s="4">
        <v>176</v>
      </c>
      <c r="E58" s="4">
        <v>90</v>
      </c>
      <c r="F58" s="2">
        <v>2</v>
      </c>
      <c r="G58" s="2" t="s">
        <v>5</v>
      </c>
      <c r="H58" s="4">
        <v>2</v>
      </c>
      <c r="I58" s="2">
        <v>1</v>
      </c>
      <c r="J58" s="2" t="s">
        <v>9</v>
      </c>
      <c r="K58" s="2">
        <v>0</v>
      </c>
      <c r="L58" s="2" t="s">
        <v>12</v>
      </c>
      <c r="M58" s="4">
        <v>6.2</v>
      </c>
      <c r="N58" s="4">
        <v>7.4</v>
      </c>
      <c r="O58" s="2">
        <v>1</v>
      </c>
      <c r="P58" s="2" t="s">
        <v>14</v>
      </c>
      <c r="Q58" s="2">
        <v>1</v>
      </c>
      <c r="R58" s="2" t="s">
        <v>14</v>
      </c>
      <c r="S58" s="2">
        <v>1</v>
      </c>
      <c r="T58" s="2" t="s">
        <v>14</v>
      </c>
      <c r="U58" s="4">
        <v>15</v>
      </c>
    </row>
    <row r="59" spans="1:21" x14ac:dyDescent="0.25">
      <c r="A59" s="1">
        <v>58</v>
      </c>
      <c r="B59" s="2">
        <v>1</v>
      </c>
      <c r="C59" s="2" t="s">
        <v>2</v>
      </c>
      <c r="D59" s="4">
        <v>178</v>
      </c>
      <c r="E59" s="4">
        <v>67.5</v>
      </c>
      <c r="F59" s="2">
        <v>2</v>
      </c>
      <c r="G59" s="2" t="s">
        <v>5</v>
      </c>
      <c r="H59" s="4">
        <v>2</v>
      </c>
      <c r="I59" s="2">
        <v>1</v>
      </c>
      <c r="J59" s="2" t="s">
        <v>9</v>
      </c>
      <c r="K59" s="2">
        <v>0</v>
      </c>
      <c r="L59" s="2" t="s">
        <v>12</v>
      </c>
      <c r="M59" s="4">
        <v>5.7</v>
      </c>
      <c r="N59" s="4">
        <v>6.3</v>
      </c>
      <c r="O59" s="2">
        <v>1</v>
      </c>
      <c r="P59" s="2" t="s">
        <v>14</v>
      </c>
      <c r="Q59" s="2">
        <v>1</v>
      </c>
      <c r="R59" s="2" t="s">
        <v>14</v>
      </c>
      <c r="S59" s="2">
        <v>1</v>
      </c>
      <c r="T59" s="2" t="s">
        <v>14</v>
      </c>
      <c r="U59" s="4">
        <v>3</v>
      </c>
    </row>
    <row r="60" spans="1:21" x14ac:dyDescent="0.25">
      <c r="A60" s="1">
        <v>59</v>
      </c>
      <c r="B60" s="2">
        <v>1</v>
      </c>
      <c r="C60" s="2" t="s">
        <v>2</v>
      </c>
      <c r="D60" s="4">
        <v>165</v>
      </c>
      <c r="E60" s="4">
        <v>70</v>
      </c>
      <c r="F60" s="2">
        <v>1</v>
      </c>
      <c r="G60" s="2" t="s">
        <v>4</v>
      </c>
      <c r="H60" s="4">
        <v>3</v>
      </c>
      <c r="I60" s="2">
        <v>0</v>
      </c>
      <c r="J60" s="2" t="s">
        <v>8</v>
      </c>
      <c r="K60" s="2">
        <v>0</v>
      </c>
      <c r="L60" s="2" t="s">
        <v>12</v>
      </c>
      <c r="M60" s="4">
        <v>7.7</v>
      </c>
      <c r="N60" s="4">
        <v>9.1</v>
      </c>
      <c r="O60" s="2">
        <v>1</v>
      </c>
      <c r="P60" s="2" t="s">
        <v>14</v>
      </c>
      <c r="Q60" s="2">
        <v>0</v>
      </c>
      <c r="R60" s="2" t="s">
        <v>15</v>
      </c>
      <c r="S60" s="2">
        <v>1</v>
      </c>
      <c r="T60" s="2" t="s">
        <v>14</v>
      </c>
      <c r="U60" s="4">
        <v>5</v>
      </c>
    </row>
    <row r="61" spans="1:21" x14ac:dyDescent="0.25">
      <c r="A61" s="1">
        <v>60</v>
      </c>
      <c r="B61" s="2">
        <v>1</v>
      </c>
      <c r="C61" s="2" t="s">
        <v>2</v>
      </c>
      <c r="D61" s="4">
        <v>174</v>
      </c>
      <c r="E61" s="4">
        <v>70</v>
      </c>
      <c r="F61" s="2">
        <v>1</v>
      </c>
      <c r="G61" s="2" t="s">
        <v>4</v>
      </c>
      <c r="H61" s="4"/>
      <c r="I61" s="2">
        <v>0</v>
      </c>
      <c r="J61" s="2" t="s">
        <v>8</v>
      </c>
      <c r="K61" s="2">
        <v>1</v>
      </c>
      <c r="L61" s="2" t="s">
        <v>13</v>
      </c>
      <c r="M61" s="4">
        <v>8.5</v>
      </c>
      <c r="N61" s="4">
        <v>11.1</v>
      </c>
      <c r="O61" s="2">
        <v>1</v>
      </c>
      <c r="P61" s="2" t="s">
        <v>14</v>
      </c>
      <c r="Q61" s="2">
        <v>1</v>
      </c>
      <c r="R61" s="2" t="s">
        <v>14</v>
      </c>
      <c r="S61" s="2">
        <v>1</v>
      </c>
      <c r="T61" s="2" t="s">
        <v>14</v>
      </c>
      <c r="U61" s="4">
        <v>1</v>
      </c>
    </row>
    <row r="62" spans="1:21" x14ac:dyDescent="0.25">
      <c r="A62" s="1">
        <v>61</v>
      </c>
      <c r="B62" s="2">
        <v>0</v>
      </c>
      <c r="C62" s="2" t="s">
        <v>1</v>
      </c>
      <c r="D62" s="4">
        <v>175</v>
      </c>
      <c r="E62" s="4">
        <v>70</v>
      </c>
      <c r="F62" s="2">
        <v>1</v>
      </c>
      <c r="G62" s="2" t="s">
        <v>4</v>
      </c>
      <c r="H62" s="4">
        <v>2</v>
      </c>
      <c r="I62" s="2">
        <v>3</v>
      </c>
      <c r="J62" s="2" t="s">
        <v>11</v>
      </c>
      <c r="K62" s="2">
        <v>0</v>
      </c>
      <c r="L62" s="2" t="s">
        <v>12</v>
      </c>
      <c r="M62" s="4">
        <v>9.3000000000000007</v>
      </c>
      <c r="N62" s="4">
        <v>8.9</v>
      </c>
      <c r="O62" s="2">
        <v>1</v>
      </c>
      <c r="P62" s="2" t="s">
        <v>14</v>
      </c>
      <c r="Q62" s="2">
        <v>1</v>
      </c>
      <c r="R62" s="2" t="s">
        <v>14</v>
      </c>
      <c r="S62" s="2">
        <v>1</v>
      </c>
      <c r="T62" s="2" t="s">
        <v>14</v>
      </c>
      <c r="U62" s="4">
        <v>7</v>
      </c>
    </row>
    <row r="63" spans="1:21" x14ac:dyDescent="0.25">
      <c r="A63" s="1">
        <v>62</v>
      </c>
      <c r="B63" s="17"/>
      <c r="C63" s="17"/>
      <c r="D63" s="4">
        <v>166</v>
      </c>
      <c r="E63" s="16"/>
      <c r="F63" s="17"/>
      <c r="G63" s="17"/>
      <c r="H63" s="16"/>
      <c r="I63" s="17"/>
      <c r="J63" s="17"/>
      <c r="K63" s="17"/>
      <c r="L63" s="17"/>
      <c r="M63" s="16"/>
      <c r="N63" s="16"/>
      <c r="O63" s="17"/>
      <c r="P63" s="17"/>
      <c r="Q63" s="17"/>
      <c r="R63" s="17"/>
      <c r="S63" s="17"/>
      <c r="T63" s="17"/>
      <c r="U63" s="16"/>
    </row>
    <row r="64" spans="1:21" x14ac:dyDescent="0.25">
      <c r="A64" s="1">
        <v>63</v>
      </c>
      <c r="B64" s="2">
        <v>0</v>
      </c>
      <c r="C64" s="2" t="s">
        <v>1</v>
      </c>
      <c r="D64" s="16">
        <v>158</v>
      </c>
      <c r="E64" s="4">
        <v>45</v>
      </c>
      <c r="F64" s="2">
        <v>1</v>
      </c>
      <c r="G64" s="2" t="s">
        <v>4</v>
      </c>
      <c r="H64" s="4">
        <v>1</v>
      </c>
      <c r="I64" s="2">
        <v>2</v>
      </c>
      <c r="J64" s="2" t="s">
        <v>10</v>
      </c>
      <c r="K64" s="2">
        <v>0</v>
      </c>
      <c r="L64" s="2" t="s">
        <v>12</v>
      </c>
      <c r="M64" s="4">
        <v>8.6300000000000008</v>
      </c>
      <c r="N64" s="4">
        <v>12.4</v>
      </c>
      <c r="O64" s="2">
        <v>1</v>
      </c>
      <c r="P64" s="2" t="s">
        <v>14</v>
      </c>
      <c r="Q64" s="2">
        <v>1</v>
      </c>
      <c r="R64" s="2" t="s">
        <v>14</v>
      </c>
      <c r="S64" s="2">
        <v>1</v>
      </c>
      <c r="T64" s="2" t="s">
        <v>14</v>
      </c>
      <c r="U64" s="4">
        <v>2</v>
      </c>
    </row>
    <row r="65" spans="1:21" x14ac:dyDescent="0.25">
      <c r="A65" s="1">
        <v>64</v>
      </c>
      <c r="B65" s="2">
        <v>1</v>
      </c>
      <c r="C65" s="2" t="s">
        <v>2</v>
      </c>
      <c r="D65" s="16">
        <v>175</v>
      </c>
      <c r="E65" s="4">
        <v>80</v>
      </c>
      <c r="F65" s="2">
        <v>2</v>
      </c>
      <c r="G65" s="2" t="s">
        <v>5</v>
      </c>
      <c r="H65" s="4">
        <v>4</v>
      </c>
      <c r="I65" s="2">
        <v>0</v>
      </c>
      <c r="J65" s="2" t="s">
        <v>8</v>
      </c>
      <c r="K65" s="2">
        <v>0</v>
      </c>
      <c r="L65" s="2" t="s">
        <v>12</v>
      </c>
      <c r="M65" s="4">
        <v>6.5</v>
      </c>
      <c r="N65" s="4">
        <v>6.5</v>
      </c>
      <c r="O65" s="2">
        <v>1</v>
      </c>
      <c r="P65" s="2" t="s">
        <v>14</v>
      </c>
      <c r="Q65" s="2">
        <v>0</v>
      </c>
      <c r="R65" s="2" t="s">
        <v>15</v>
      </c>
      <c r="S65" s="2">
        <v>1</v>
      </c>
      <c r="T65" s="2" t="s">
        <v>14</v>
      </c>
      <c r="U65" s="4">
        <v>25</v>
      </c>
    </row>
    <row r="66" spans="1:21" x14ac:dyDescent="0.25">
      <c r="A66" s="1">
        <v>65</v>
      </c>
      <c r="B66" s="2">
        <v>1</v>
      </c>
      <c r="C66" s="2" t="s">
        <v>2</v>
      </c>
      <c r="D66" s="16">
        <v>190</v>
      </c>
      <c r="E66" s="4">
        <v>80</v>
      </c>
      <c r="F66" s="2">
        <v>2</v>
      </c>
      <c r="G66" s="2" t="s">
        <v>5</v>
      </c>
      <c r="H66" s="4">
        <v>2</v>
      </c>
      <c r="I66" s="2">
        <v>0</v>
      </c>
      <c r="J66" s="2" t="s">
        <v>8</v>
      </c>
      <c r="K66" s="2">
        <v>0</v>
      </c>
      <c r="L66" s="2" t="s">
        <v>12</v>
      </c>
      <c r="M66" s="4">
        <v>8</v>
      </c>
      <c r="N66" s="4">
        <v>9</v>
      </c>
      <c r="O66" s="2">
        <v>1</v>
      </c>
      <c r="P66" s="2" t="s">
        <v>14</v>
      </c>
      <c r="Q66" s="2">
        <v>1</v>
      </c>
      <c r="R66" s="2" t="s">
        <v>14</v>
      </c>
      <c r="S66" s="2">
        <v>1</v>
      </c>
      <c r="T66" s="2" t="s">
        <v>14</v>
      </c>
      <c r="U66" s="4">
        <v>30</v>
      </c>
    </row>
    <row r="67" spans="1:21" x14ac:dyDescent="0.25">
      <c r="A67" s="1">
        <v>66</v>
      </c>
      <c r="B67" s="2">
        <v>1</v>
      </c>
      <c r="C67" s="2" t="s">
        <v>2</v>
      </c>
      <c r="D67" s="16">
        <v>178</v>
      </c>
      <c r="E67" s="4">
        <v>72</v>
      </c>
      <c r="F67" s="2">
        <v>3</v>
      </c>
      <c r="G67" s="2" t="s">
        <v>6</v>
      </c>
      <c r="H67" s="4">
        <v>2</v>
      </c>
      <c r="I67" s="2">
        <v>0</v>
      </c>
      <c r="J67" s="2" t="s">
        <v>8</v>
      </c>
      <c r="K67" s="2">
        <v>0</v>
      </c>
      <c r="L67" s="2" t="s">
        <v>12</v>
      </c>
      <c r="M67" s="4">
        <v>7.1</v>
      </c>
      <c r="N67" s="4">
        <v>6.6</v>
      </c>
      <c r="O67" s="2">
        <v>1</v>
      </c>
      <c r="P67" s="2" t="s">
        <v>14</v>
      </c>
      <c r="Q67" s="2">
        <v>1</v>
      </c>
      <c r="R67" s="2" t="s">
        <v>14</v>
      </c>
      <c r="S67" s="2">
        <v>1</v>
      </c>
      <c r="T67" s="2" t="s">
        <v>14</v>
      </c>
      <c r="U67" s="4">
        <v>35</v>
      </c>
    </row>
    <row r="68" spans="1:21" x14ac:dyDescent="0.25">
      <c r="A68" s="1">
        <v>67</v>
      </c>
      <c r="B68" s="2">
        <v>1</v>
      </c>
      <c r="C68" s="2" t="s">
        <v>2</v>
      </c>
      <c r="D68" s="16">
        <v>166</v>
      </c>
      <c r="E68" s="4">
        <v>62</v>
      </c>
      <c r="F68" s="27">
        <v>4</v>
      </c>
      <c r="G68" s="2" t="s">
        <v>7</v>
      </c>
      <c r="H68" s="4"/>
      <c r="I68" s="2">
        <v>2</v>
      </c>
      <c r="J68" s="2" t="s">
        <v>10</v>
      </c>
      <c r="K68" s="2">
        <v>0</v>
      </c>
      <c r="L68" s="2" t="s">
        <v>12</v>
      </c>
      <c r="M68" s="4">
        <v>9.4</v>
      </c>
      <c r="N68" s="4">
        <v>10.7</v>
      </c>
      <c r="O68" s="2">
        <v>1</v>
      </c>
      <c r="P68" s="2" t="s">
        <v>14</v>
      </c>
      <c r="Q68" s="2">
        <v>1</v>
      </c>
      <c r="R68" s="2" t="s">
        <v>14</v>
      </c>
      <c r="S68" s="2">
        <v>1</v>
      </c>
      <c r="T68" s="2" t="s">
        <v>14</v>
      </c>
      <c r="U68" s="4">
        <v>35</v>
      </c>
    </row>
    <row r="69" spans="1:21" x14ac:dyDescent="0.25">
      <c r="A69" s="1">
        <v>68</v>
      </c>
      <c r="B69" s="2">
        <v>1</v>
      </c>
      <c r="C69" s="2" t="s">
        <v>2</v>
      </c>
      <c r="D69" s="16">
        <v>180</v>
      </c>
      <c r="E69" s="4">
        <v>82</v>
      </c>
      <c r="F69" s="2">
        <v>1</v>
      </c>
      <c r="G69" s="2" t="s">
        <v>4</v>
      </c>
      <c r="H69" s="4">
        <v>1</v>
      </c>
      <c r="I69" s="2">
        <v>0</v>
      </c>
      <c r="J69" s="2" t="s">
        <v>8</v>
      </c>
      <c r="K69" s="2">
        <v>0</v>
      </c>
      <c r="L69" s="2" t="s">
        <v>12</v>
      </c>
      <c r="M69" s="4">
        <v>7.1</v>
      </c>
      <c r="N69" s="4">
        <v>7.7</v>
      </c>
      <c r="O69" s="2">
        <v>1</v>
      </c>
      <c r="P69" s="2" t="s">
        <v>14</v>
      </c>
      <c r="Q69" s="2">
        <v>1</v>
      </c>
      <c r="R69" s="2" t="s">
        <v>14</v>
      </c>
      <c r="S69" s="2">
        <v>1</v>
      </c>
      <c r="T69" s="2" t="s">
        <v>14</v>
      </c>
      <c r="U69" s="4">
        <v>1</v>
      </c>
    </row>
    <row r="70" spans="1:21" x14ac:dyDescent="0.25">
      <c r="A70" s="1">
        <v>69</v>
      </c>
      <c r="B70" s="2">
        <v>1</v>
      </c>
      <c r="C70" s="2" t="s">
        <v>2</v>
      </c>
      <c r="D70" s="16">
        <v>189</v>
      </c>
      <c r="E70" s="4">
        <v>85</v>
      </c>
      <c r="F70" s="2">
        <v>2</v>
      </c>
      <c r="G70" s="2" t="s">
        <v>5</v>
      </c>
      <c r="H70" s="4">
        <v>3</v>
      </c>
      <c r="I70" s="2">
        <v>0</v>
      </c>
      <c r="J70" s="2" t="s">
        <v>8</v>
      </c>
      <c r="K70" s="2">
        <v>1</v>
      </c>
      <c r="L70" s="2" t="s">
        <v>13</v>
      </c>
      <c r="M70" s="4">
        <v>7</v>
      </c>
      <c r="N70" s="16"/>
      <c r="O70" s="2">
        <v>1</v>
      </c>
      <c r="P70" s="2" t="s">
        <v>14</v>
      </c>
      <c r="Q70" s="2">
        <v>1</v>
      </c>
      <c r="R70" s="2" t="s">
        <v>14</v>
      </c>
      <c r="S70" s="2">
        <v>1</v>
      </c>
      <c r="T70" s="2" t="s">
        <v>14</v>
      </c>
      <c r="U70" s="4">
        <v>15</v>
      </c>
    </row>
    <row r="71" spans="1:21" x14ac:dyDescent="0.25">
      <c r="A71" s="1">
        <v>70</v>
      </c>
      <c r="B71" s="2">
        <v>1</v>
      </c>
      <c r="C71" s="2" t="s">
        <v>2</v>
      </c>
      <c r="D71" s="16">
        <v>190</v>
      </c>
      <c r="E71" s="4">
        <v>75</v>
      </c>
      <c r="F71" s="2">
        <v>3</v>
      </c>
      <c r="G71" s="2" t="s">
        <v>6</v>
      </c>
      <c r="H71" s="4">
        <v>2</v>
      </c>
      <c r="I71" s="17"/>
      <c r="J71" s="17"/>
      <c r="K71" s="2">
        <v>0</v>
      </c>
      <c r="L71" s="2" t="s">
        <v>12</v>
      </c>
      <c r="M71" s="4">
        <v>7</v>
      </c>
      <c r="N71" s="4">
        <v>9</v>
      </c>
      <c r="O71" s="2">
        <v>1</v>
      </c>
      <c r="P71" s="2" t="s">
        <v>14</v>
      </c>
      <c r="Q71" s="2">
        <v>1</v>
      </c>
      <c r="R71" s="2" t="s">
        <v>14</v>
      </c>
      <c r="S71" s="2">
        <v>1</v>
      </c>
      <c r="T71" s="2" t="s">
        <v>14</v>
      </c>
      <c r="U71" s="4">
        <v>14</v>
      </c>
    </row>
    <row r="72" spans="1:21" x14ac:dyDescent="0.25">
      <c r="A72" s="1">
        <v>71</v>
      </c>
      <c r="B72" s="2">
        <v>0</v>
      </c>
      <c r="C72" s="2" t="s">
        <v>1</v>
      </c>
      <c r="D72" s="16">
        <v>168</v>
      </c>
      <c r="E72" s="4">
        <v>61</v>
      </c>
      <c r="F72" s="2">
        <v>1</v>
      </c>
      <c r="G72" s="2" t="s">
        <v>4</v>
      </c>
      <c r="H72" s="4">
        <v>3</v>
      </c>
      <c r="I72" s="2">
        <v>0</v>
      </c>
      <c r="J72" s="2" t="s">
        <v>8</v>
      </c>
      <c r="K72" s="2">
        <v>1</v>
      </c>
      <c r="L72" s="2" t="s">
        <v>13</v>
      </c>
      <c r="M72" s="4">
        <v>6</v>
      </c>
      <c r="N72" s="4">
        <v>6</v>
      </c>
      <c r="O72" s="2">
        <v>1</v>
      </c>
      <c r="P72" s="2" t="s">
        <v>14</v>
      </c>
      <c r="Q72" s="2">
        <v>1</v>
      </c>
      <c r="R72" s="2" t="s">
        <v>14</v>
      </c>
      <c r="S72" s="2">
        <v>1</v>
      </c>
      <c r="T72" s="2" t="s">
        <v>14</v>
      </c>
      <c r="U72" s="4">
        <v>0</v>
      </c>
    </row>
    <row r="73" spans="1:21" x14ac:dyDescent="0.25">
      <c r="A73" s="1">
        <v>72</v>
      </c>
      <c r="B73" s="2">
        <v>1</v>
      </c>
      <c r="C73" s="2" t="s">
        <v>2</v>
      </c>
      <c r="D73" s="16">
        <v>180</v>
      </c>
      <c r="E73" s="4">
        <v>85</v>
      </c>
      <c r="F73" s="2">
        <v>2</v>
      </c>
      <c r="G73" s="2" t="s">
        <v>5</v>
      </c>
      <c r="H73" s="4">
        <v>1</v>
      </c>
      <c r="I73" s="2">
        <v>0</v>
      </c>
      <c r="J73" s="2" t="s">
        <v>8</v>
      </c>
      <c r="K73" s="2">
        <v>1</v>
      </c>
      <c r="L73" s="2" t="s">
        <v>13</v>
      </c>
      <c r="M73" s="4">
        <v>6.5</v>
      </c>
      <c r="N73" s="4">
        <v>5</v>
      </c>
      <c r="O73" s="2">
        <v>1</v>
      </c>
      <c r="P73" s="2" t="s">
        <v>14</v>
      </c>
      <c r="Q73" s="2">
        <v>1</v>
      </c>
      <c r="R73" s="2" t="s">
        <v>14</v>
      </c>
      <c r="S73" s="2">
        <v>1</v>
      </c>
      <c r="T73" s="2" t="s">
        <v>14</v>
      </c>
      <c r="U73" s="4">
        <v>20</v>
      </c>
    </row>
    <row r="74" spans="1:21" x14ac:dyDescent="0.25">
      <c r="A74" s="1">
        <v>73</v>
      </c>
      <c r="B74" s="2">
        <v>1</v>
      </c>
      <c r="C74" s="2" t="s">
        <v>2</v>
      </c>
      <c r="D74" s="16">
        <v>182</v>
      </c>
      <c r="E74" s="4">
        <v>80</v>
      </c>
      <c r="F74" s="2">
        <v>3</v>
      </c>
      <c r="G74" s="2" t="s">
        <v>6</v>
      </c>
      <c r="H74" s="4">
        <v>1</v>
      </c>
      <c r="I74" s="2">
        <v>0</v>
      </c>
      <c r="J74" s="2" t="s">
        <v>8</v>
      </c>
      <c r="K74" s="2">
        <v>1</v>
      </c>
      <c r="L74" s="2" t="s">
        <v>13</v>
      </c>
      <c r="M74" s="4">
        <v>7</v>
      </c>
      <c r="N74" s="4">
        <v>7</v>
      </c>
      <c r="O74" s="2">
        <v>1</v>
      </c>
      <c r="P74" s="2" t="s">
        <v>14</v>
      </c>
      <c r="Q74" s="2">
        <v>1</v>
      </c>
      <c r="R74" s="2" t="s">
        <v>14</v>
      </c>
      <c r="S74" s="2">
        <v>1</v>
      </c>
      <c r="T74" s="2" t="s">
        <v>14</v>
      </c>
      <c r="U74" s="4">
        <v>70</v>
      </c>
    </row>
    <row r="75" spans="1:21" x14ac:dyDescent="0.25">
      <c r="A75" s="1">
        <v>74</v>
      </c>
      <c r="B75" s="2">
        <v>1</v>
      </c>
      <c r="C75" s="2" t="s">
        <v>2</v>
      </c>
      <c r="D75" s="16">
        <v>180</v>
      </c>
      <c r="E75" s="4">
        <v>85</v>
      </c>
      <c r="F75" s="2">
        <v>4</v>
      </c>
      <c r="G75" s="2" t="s">
        <v>7</v>
      </c>
      <c r="H75" s="4">
        <v>3</v>
      </c>
      <c r="I75" s="2">
        <v>0</v>
      </c>
      <c r="J75" s="2" t="s">
        <v>8</v>
      </c>
      <c r="K75" s="2">
        <v>0</v>
      </c>
      <c r="L75" s="2" t="s">
        <v>12</v>
      </c>
      <c r="M75" s="4">
        <v>7.8</v>
      </c>
      <c r="N75" s="16"/>
      <c r="O75" s="2">
        <v>1</v>
      </c>
      <c r="P75" s="2" t="s">
        <v>14</v>
      </c>
      <c r="Q75" s="2">
        <v>1</v>
      </c>
      <c r="R75" s="2" t="s">
        <v>14</v>
      </c>
      <c r="S75" s="2">
        <v>0</v>
      </c>
      <c r="T75" s="2" t="s">
        <v>15</v>
      </c>
      <c r="U75" s="4">
        <v>0</v>
      </c>
    </row>
    <row r="76" spans="1:21" x14ac:dyDescent="0.25">
      <c r="A76" s="1">
        <v>75</v>
      </c>
      <c r="B76" s="2">
        <v>1</v>
      </c>
      <c r="C76" s="2" t="s">
        <v>2</v>
      </c>
      <c r="D76" s="16">
        <v>175</v>
      </c>
      <c r="E76" s="4">
        <v>62</v>
      </c>
      <c r="F76" s="2">
        <v>3</v>
      </c>
      <c r="G76" s="2" t="s">
        <v>6</v>
      </c>
      <c r="H76" s="4">
        <v>2</v>
      </c>
      <c r="I76" s="2">
        <v>2</v>
      </c>
      <c r="J76" s="2" t="s">
        <v>10</v>
      </c>
      <c r="K76" s="2">
        <v>0</v>
      </c>
      <c r="L76" s="2" t="s">
        <v>12</v>
      </c>
      <c r="M76" s="4">
        <v>7</v>
      </c>
      <c r="N76" s="4">
        <v>9.1</v>
      </c>
      <c r="O76" s="2">
        <v>1</v>
      </c>
      <c r="P76" s="2" t="s">
        <v>14</v>
      </c>
      <c r="Q76" s="2">
        <v>1</v>
      </c>
      <c r="R76" s="2" t="s">
        <v>14</v>
      </c>
      <c r="S76" s="2">
        <v>1</v>
      </c>
      <c r="T76" s="2" t="s">
        <v>14</v>
      </c>
      <c r="U76" s="4">
        <v>60</v>
      </c>
    </row>
    <row r="77" spans="1:21" x14ac:dyDescent="0.25">
      <c r="A77" s="1">
        <v>76</v>
      </c>
      <c r="B77" s="2">
        <v>1</v>
      </c>
      <c r="C77" s="2" t="s">
        <v>2</v>
      </c>
      <c r="D77" s="16">
        <v>183</v>
      </c>
      <c r="E77" s="4">
        <v>80</v>
      </c>
      <c r="F77" s="2">
        <v>4</v>
      </c>
      <c r="G77" s="2" t="s">
        <v>7</v>
      </c>
      <c r="H77" s="4">
        <v>2</v>
      </c>
      <c r="I77" s="2">
        <v>0</v>
      </c>
      <c r="J77" s="2" t="s">
        <v>8</v>
      </c>
      <c r="K77" s="2">
        <v>0</v>
      </c>
      <c r="L77" s="2" t="s">
        <v>12</v>
      </c>
      <c r="M77" s="4">
        <v>6</v>
      </c>
      <c r="N77" s="4">
        <v>6.8</v>
      </c>
      <c r="O77" s="2">
        <v>1</v>
      </c>
      <c r="P77" s="2" t="s">
        <v>14</v>
      </c>
      <c r="Q77" s="2">
        <v>1</v>
      </c>
      <c r="R77" s="2" t="s">
        <v>14</v>
      </c>
      <c r="S77" s="2">
        <v>1</v>
      </c>
      <c r="T77" s="2" t="s">
        <v>14</v>
      </c>
      <c r="U77" s="4">
        <v>4</v>
      </c>
    </row>
    <row r="78" spans="1:21" x14ac:dyDescent="0.25">
      <c r="A78" s="1">
        <v>77</v>
      </c>
      <c r="B78" s="2">
        <v>1</v>
      </c>
      <c r="C78" s="2" t="s">
        <v>2</v>
      </c>
      <c r="D78" s="16">
        <v>180</v>
      </c>
      <c r="E78" s="4">
        <v>85</v>
      </c>
      <c r="F78" s="2">
        <v>2</v>
      </c>
      <c r="G78" s="2" t="s">
        <v>5</v>
      </c>
      <c r="H78" s="4">
        <v>3</v>
      </c>
      <c r="I78" s="2">
        <v>2</v>
      </c>
      <c r="J78" s="2" t="s">
        <v>10</v>
      </c>
      <c r="K78" s="2">
        <v>0</v>
      </c>
      <c r="L78" s="2" t="s">
        <v>12</v>
      </c>
      <c r="M78" s="4">
        <v>5.7</v>
      </c>
      <c r="N78" s="4">
        <v>6.4</v>
      </c>
      <c r="O78" s="2">
        <v>1</v>
      </c>
      <c r="P78" s="2" t="s">
        <v>14</v>
      </c>
      <c r="Q78" s="2">
        <v>1</v>
      </c>
      <c r="R78" s="2" t="s">
        <v>14</v>
      </c>
      <c r="S78" s="2">
        <v>1</v>
      </c>
      <c r="T78" s="2" t="s">
        <v>14</v>
      </c>
      <c r="U78" s="4">
        <v>10</v>
      </c>
    </row>
    <row r="79" spans="1:21" x14ac:dyDescent="0.25">
      <c r="A79" s="1">
        <v>78</v>
      </c>
      <c r="B79" s="2">
        <v>1</v>
      </c>
      <c r="C79" s="2" t="s">
        <v>2</v>
      </c>
      <c r="D79" s="4">
        <v>175</v>
      </c>
      <c r="E79" s="4">
        <v>75</v>
      </c>
      <c r="F79" s="2">
        <v>4</v>
      </c>
      <c r="G79" s="2" t="s">
        <v>7</v>
      </c>
      <c r="H79" s="4">
        <v>1</v>
      </c>
      <c r="I79" s="2">
        <v>2</v>
      </c>
      <c r="J79" s="2" t="s">
        <v>10</v>
      </c>
      <c r="K79" s="2">
        <v>0</v>
      </c>
      <c r="L79" s="2" t="s">
        <v>12</v>
      </c>
      <c r="M79" s="4">
        <v>7.3</v>
      </c>
      <c r="N79" s="4">
        <v>9.5</v>
      </c>
      <c r="O79" s="2">
        <v>1</v>
      </c>
      <c r="P79" s="2" t="s">
        <v>14</v>
      </c>
      <c r="Q79" s="2">
        <v>1</v>
      </c>
      <c r="R79" s="2" t="s">
        <v>14</v>
      </c>
      <c r="S79" s="2">
        <v>1</v>
      </c>
      <c r="T79" s="2" t="s">
        <v>14</v>
      </c>
      <c r="U79" s="4">
        <v>5</v>
      </c>
    </row>
    <row r="80" spans="1:21" x14ac:dyDescent="0.25">
      <c r="A80" s="1">
        <v>79</v>
      </c>
      <c r="B80" s="2">
        <v>1</v>
      </c>
      <c r="C80" s="2" t="s">
        <v>2</v>
      </c>
      <c r="D80" s="4">
        <v>180</v>
      </c>
      <c r="E80" s="4">
        <v>72</v>
      </c>
      <c r="F80" s="2">
        <v>3</v>
      </c>
      <c r="G80" s="2" t="s">
        <v>6</v>
      </c>
      <c r="H80" s="4">
        <v>2</v>
      </c>
      <c r="I80" s="2">
        <v>0</v>
      </c>
      <c r="J80" s="2" t="s">
        <v>8</v>
      </c>
      <c r="K80" s="2">
        <v>1</v>
      </c>
      <c r="L80" s="2" t="s">
        <v>13</v>
      </c>
      <c r="M80" s="4">
        <v>6.98</v>
      </c>
      <c r="N80" s="4">
        <v>9.3000000000000007</v>
      </c>
      <c r="O80" s="2">
        <v>1</v>
      </c>
      <c r="P80" s="2" t="s">
        <v>14</v>
      </c>
      <c r="Q80" s="2">
        <v>1</v>
      </c>
      <c r="R80" s="2" t="s">
        <v>14</v>
      </c>
      <c r="S80" s="2">
        <v>1</v>
      </c>
      <c r="T80" s="2" t="s">
        <v>14</v>
      </c>
      <c r="U80" s="4">
        <v>2</v>
      </c>
    </row>
    <row r="81" spans="1:21" x14ac:dyDescent="0.25">
      <c r="A81" s="1">
        <v>80</v>
      </c>
      <c r="B81" s="2">
        <v>1</v>
      </c>
      <c r="C81" s="2" t="s">
        <v>2</v>
      </c>
      <c r="D81" s="4">
        <v>175</v>
      </c>
      <c r="E81" s="4">
        <v>68</v>
      </c>
      <c r="F81" s="2">
        <v>2</v>
      </c>
      <c r="G81" s="2" t="s">
        <v>5</v>
      </c>
      <c r="H81" s="4">
        <v>2</v>
      </c>
      <c r="I81" s="2">
        <v>0</v>
      </c>
      <c r="J81" s="2" t="s">
        <v>8</v>
      </c>
      <c r="K81" s="2">
        <v>1</v>
      </c>
      <c r="L81" s="2" t="s">
        <v>13</v>
      </c>
      <c r="M81" s="4">
        <v>6.5</v>
      </c>
      <c r="N81" s="4">
        <v>8.4</v>
      </c>
      <c r="O81" s="2">
        <v>1</v>
      </c>
      <c r="P81" s="2" t="s">
        <v>14</v>
      </c>
      <c r="Q81" s="2">
        <v>1</v>
      </c>
      <c r="R81" s="2" t="s">
        <v>14</v>
      </c>
      <c r="S81" s="2">
        <v>1</v>
      </c>
      <c r="T81" s="2" t="s">
        <v>14</v>
      </c>
      <c r="U81" s="4">
        <v>2</v>
      </c>
    </row>
    <row r="82" spans="1:21" x14ac:dyDescent="0.25">
      <c r="A82" s="1">
        <v>81</v>
      </c>
      <c r="B82" s="2">
        <v>1</v>
      </c>
      <c r="C82" s="2" t="s">
        <v>2</v>
      </c>
      <c r="D82" s="16">
        <v>180</v>
      </c>
      <c r="E82" s="4">
        <v>72</v>
      </c>
      <c r="F82" s="2">
        <v>2</v>
      </c>
      <c r="G82" s="2" t="s">
        <v>5</v>
      </c>
      <c r="H82" s="4">
        <v>3</v>
      </c>
      <c r="I82" s="2">
        <v>0</v>
      </c>
      <c r="J82" s="2" t="s">
        <v>8</v>
      </c>
      <c r="K82" s="2">
        <v>1</v>
      </c>
      <c r="L82" s="2" t="s">
        <v>13</v>
      </c>
      <c r="M82" s="4">
        <v>6.7</v>
      </c>
      <c r="N82" s="4">
        <v>6.3</v>
      </c>
      <c r="O82" s="2">
        <v>1</v>
      </c>
      <c r="P82" s="2" t="s">
        <v>14</v>
      </c>
      <c r="Q82" s="2">
        <v>1</v>
      </c>
      <c r="R82" s="2" t="s">
        <v>14</v>
      </c>
      <c r="S82" s="2">
        <v>1</v>
      </c>
      <c r="T82" s="2" t="s">
        <v>14</v>
      </c>
      <c r="U82" s="4">
        <v>1</v>
      </c>
    </row>
    <row r="83" spans="1:21" x14ac:dyDescent="0.25">
      <c r="A83" s="1">
        <v>82</v>
      </c>
      <c r="B83" s="2">
        <v>1</v>
      </c>
      <c r="C83" s="2" t="s">
        <v>2</v>
      </c>
      <c r="D83" s="16">
        <v>180</v>
      </c>
      <c r="E83" s="4">
        <v>70</v>
      </c>
      <c r="F83" s="2">
        <v>2</v>
      </c>
      <c r="G83" s="2" t="s">
        <v>5</v>
      </c>
      <c r="H83" s="4">
        <v>3</v>
      </c>
      <c r="I83" s="2">
        <v>0</v>
      </c>
      <c r="J83" s="2" t="s">
        <v>8</v>
      </c>
      <c r="K83" s="2">
        <v>1</v>
      </c>
      <c r="L83" s="2" t="s">
        <v>13</v>
      </c>
      <c r="M83" s="4">
        <v>6.7</v>
      </c>
      <c r="N83" s="4">
        <v>7</v>
      </c>
      <c r="O83" s="2">
        <v>1</v>
      </c>
      <c r="P83" s="2" t="s">
        <v>14</v>
      </c>
      <c r="Q83" s="2">
        <v>1</v>
      </c>
      <c r="R83" s="2" t="s">
        <v>14</v>
      </c>
      <c r="S83" s="2">
        <v>1</v>
      </c>
      <c r="T83" s="2" t="s">
        <v>14</v>
      </c>
      <c r="U83" s="4">
        <v>30</v>
      </c>
    </row>
    <row r="84" spans="1:21" x14ac:dyDescent="0.25">
      <c r="A84" s="1">
        <v>83</v>
      </c>
      <c r="B84" s="2">
        <v>0</v>
      </c>
      <c r="C84" s="2" t="s">
        <v>1</v>
      </c>
      <c r="D84" s="16">
        <v>162</v>
      </c>
      <c r="E84" s="4">
        <v>56</v>
      </c>
      <c r="F84" s="2">
        <v>2</v>
      </c>
      <c r="G84" s="2" t="s">
        <v>5</v>
      </c>
      <c r="H84" s="4">
        <v>3</v>
      </c>
      <c r="I84" s="2">
        <v>0</v>
      </c>
      <c r="J84" s="2" t="s">
        <v>8</v>
      </c>
      <c r="K84" s="2">
        <v>0</v>
      </c>
      <c r="L84" s="2" t="s">
        <v>12</v>
      </c>
      <c r="M84" s="4">
        <v>5.6</v>
      </c>
      <c r="N84" s="4">
        <v>6.7</v>
      </c>
      <c r="O84" s="2">
        <v>1</v>
      </c>
      <c r="P84" s="2" t="s">
        <v>14</v>
      </c>
      <c r="Q84" s="2">
        <v>1</v>
      </c>
      <c r="R84" s="2" t="s">
        <v>14</v>
      </c>
      <c r="S84" s="2">
        <v>1</v>
      </c>
      <c r="T84" s="2" t="s">
        <v>14</v>
      </c>
      <c r="U84" s="4">
        <v>7</v>
      </c>
    </row>
    <row r="85" spans="1:21" x14ac:dyDescent="0.25">
      <c r="A85" s="1">
        <v>84</v>
      </c>
      <c r="B85" s="2">
        <v>1</v>
      </c>
      <c r="C85" s="2" t="s">
        <v>2</v>
      </c>
      <c r="D85" s="16">
        <v>186</v>
      </c>
      <c r="E85" s="4">
        <v>90</v>
      </c>
      <c r="F85" s="2">
        <v>4</v>
      </c>
      <c r="G85" s="2" t="s">
        <v>7</v>
      </c>
      <c r="H85" s="4">
        <v>2</v>
      </c>
      <c r="I85" s="2">
        <v>1</v>
      </c>
      <c r="J85" s="2" t="s">
        <v>9</v>
      </c>
      <c r="K85" s="2">
        <v>1</v>
      </c>
      <c r="L85" s="2" t="s">
        <v>13</v>
      </c>
      <c r="M85" s="4">
        <v>7.6</v>
      </c>
      <c r="N85" s="4">
        <v>9</v>
      </c>
      <c r="O85" s="2">
        <v>1</v>
      </c>
      <c r="P85" s="2" t="s">
        <v>14</v>
      </c>
      <c r="Q85" s="2">
        <v>1</v>
      </c>
      <c r="R85" s="2" t="s">
        <v>14</v>
      </c>
      <c r="S85" s="2">
        <v>1</v>
      </c>
      <c r="T85" s="2" t="s">
        <v>14</v>
      </c>
      <c r="U85" s="4">
        <v>8</v>
      </c>
    </row>
    <row r="86" spans="1:21" x14ac:dyDescent="0.25">
      <c r="A86" s="1">
        <v>85</v>
      </c>
      <c r="B86" s="2">
        <v>0</v>
      </c>
      <c r="C86" s="2" t="s">
        <v>1</v>
      </c>
      <c r="D86" s="16">
        <v>168</v>
      </c>
      <c r="E86" s="4">
        <v>55</v>
      </c>
      <c r="F86" s="2">
        <v>0</v>
      </c>
      <c r="G86" s="2" t="s">
        <v>3</v>
      </c>
      <c r="H86" s="4">
        <v>1</v>
      </c>
      <c r="I86" s="2">
        <v>2</v>
      </c>
      <c r="J86" s="2" t="s">
        <v>10</v>
      </c>
      <c r="K86" s="2">
        <v>0</v>
      </c>
      <c r="L86" s="2" t="s">
        <v>12</v>
      </c>
      <c r="M86" s="4">
        <v>6.8</v>
      </c>
      <c r="N86" s="4">
        <v>8.1999999999999993</v>
      </c>
      <c r="O86" s="2">
        <v>1</v>
      </c>
      <c r="P86" s="2" t="s">
        <v>14</v>
      </c>
      <c r="Q86" s="2">
        <v>0</v>
      </c>
      <c r="R86" s="2" t="s">
        <v>15</v>
      </c>
      <c r="S86" s="2">
        <v>1</v>
      </c>
      <c r="T86" s="2" t="s">
        <v>14</v>
      </c>
      <c r="U86" s="4">
        <v>5</v>
      </c>
    </row>
    <row r="87" spans="1:21" x14ac:dyDescent="0.25">
      <c r="A87" s="1">
        <v>86</v>
      </c>
      <c r="B87" s="2">
        <v>1</v>
      </c>
      <c r="C87" s="2" t="s">
        <v>2</v>
      </c>
      <c r="D87" s="16">
        <v>181</v>
      </c>
      <c r="E87" s="4">
        <v>75</v>
      </c>
      <c r="F87" s="2">
        <v>2</v>
      </c>
      <c r="G87" s="2" t="s">
        <v>5</v>
      </c>
      <c r="H87" s="4">
        <v>3</v>
      </c>
      <c r="I87" s="2">
        <v>0</v>
      </c>
      <c r="J87" s="2" t="s">
        <v>8</v>
      </c>
      <c r="K87" s="2">
        <v>1</v>
      </c>
      <c r="L87" s="2" t="s">
        <v>13</v>
      </c>
      <c r="M87" s="4">
        <v>6.8</v>
      </c>
      <c r="N87" s="4">
        <v>8.6999999999999993</v>
      </c>
      <c r="O87" s="2">
        <v>1</v>
      </c>
      <c r="P87" s="2" t="s">
        <v>14</v>
      </c>
      <c r="Q87" s="2">
        <v>1</v>
      </c>
      <c r="R87" s="2" t="s">
        <v>14</v>
      </c>
      <c r="S87" s="2">
        <v>1</v>
      </c>
      <c r="T87" s="2" t="s">
        <v>14</v>
      </c>
      <c r="U87" s="4">
        <v>14</v>
      </c>
    </row>
    <row r="88" spans="1:21" x14ac:dyDescent="0.25">
      <c r="A88" s="1">
        <v>87</v>
      </c>
      <c r="B88" s="2">
        <v>1</v>
      </c>
      <c r="C88" s="2" t="s">
        <v>2</v>
      </c>
      <c r="D88" s="16">
        <v>158</v>
      </c>
      <c r="E88" s="4">
        <v>60</v>
      </c>
      <c r="F88" s="2">
        <v>1</v>
      </c>
      <c r="G88" s="2" t="s">
        <v>4</v>
      </c>
      <c r="H88" s="4">
        <v>1</v>
      </c>
      <c r="I88" s="2">
        <v>2</v>
      </c>
      <c r="J88" s="2" t="s">
        <v>10</v>
      </c>
      <c r="K88" s="2">
        <v>0</v>
      </c>
      <c r="L88" s="2" t="s">
        <v>12</v>
      </c>
      <c r="M88" s="4">
        <v>6</v>
      </c>
      <c r="N88" s="4">
        <v>7</v>
      </c>
      <c r="O88" s="2">
        <v>1</v>
      </c>
      <c r="P88" s="2" t="s">
        <v>14</v>
      </c>
      <c r="Q88" s="2">
        <v>1</v>
      </c>
      <c r="R88" s="2" t="s">
        <v>14</v>
      </c>
      <c r="S88" s="2">
        <v>1</v>
      </c>
      <c r="T88" s="2" t="s">
        <v>14</v>
      </c>
      <c r="U88" s="4">
        <v>5</v>
      </c>
    </row>
    <row r="89" spans="1:21" x14ac:dyDescent="0.25">
      <c r="A89" s="1">
        <v>88</v>
      </c>
      <c r="B89" s="2">
        <v>1</v>
      </c>
      <c r="C89" s="2" t="s">
        <v>2</v>
      </c>
      <c r="D89" s="16">
        <v>178</v>
      </c>
      <c r="E89" s="4">
        <v>70</v>
      </c>
      <c r="F89" s="2">
        <v>2</v>
      </c>
      <c r="G89" s="2" t="s">
        <v>5</v>
      </c>
      <c r="H89" s="4">
        <v>2</v>
      </c>
      <c r="I89" s="2">
        <v>0</v>
      </c>
      <c r="J89" s="2" t="s">
        <v>8</v>
      </c>
      <c r="K89" s="2">
        <v>0</v>
      </c>
      <c r="L89" s="2" t="s">
        <v>12</v>
      </c>
      <c r="M89" s="4">
        <v>5.7</v>
      </c>
      <c r="N89" s="4">
        <v>5.5</v>
      </c>
      <c r="O89" s="2">
        <v>0</v>
      </c>
      <c r="P89" s="2" t="s">
        <v>15</v>
      </c>
      <c r="Q89" s="2">
        <v>1</v>
      </c>
      <c r="R89" s="2" t="s">
        <v>14</v>
      </c>
      <c r="S89" s="2">
        <v>1</v>
      </c>
      <c r="T89" s="2" t="s">
        <v>14</v>
      </c>
      <c r="U89" s="4">
        <v>12</v>
      </c>
    </row>
    <row r="90" spans="1:21" x14ac:dyDescent="0.25">
      <c r="A90" s="1">
        <v>89</v>
      </c>
      <c r="B90" s="2">
        <v>1</v>
      </c>
      <c r="C90" s="2" t="s">
        <v>2</v>
      </c>
      <c r="D90" s="16">
        <v>175</v>
      </c>
      <c r="E90" s="4">
        <v>72</v>
      </c>
      <c r="F90" s="2">
        <v>3</v>
      </c>
      <c r="G90" s="2" t="s">
        <v>6</v>
      </c>
      <c r="H90" s="4">
        <v>2</v>
      </c>
      <c r="I90" s="2">
        <v>0</v>
      </c>
      <c r="J90" s="2" t="s">
        <v>8</v>
      </c>
      <c r="K90" s="2">
        <v>1</v>
      </c>
      <c r="L90" s="2" t="s">
        <v>13</v>
      </c>
      <c r="M90" s="4">
        <v>7</v>
      </c>
      <c r="N90" s="4">
        <v>7.03</v>
      </c>
      <c r="O90" s="2">
        <v>1</v>
      </c>
      <c r="P90" s="2" t="s">
        <v>14</v>
      </c>
      <c r="Q90" s="2">
        <v>1</v>
      </c>
      <c r="R90" s="2" t="s">
        <v>14</v>
      </c>
      <c r="S90" s="2">
        <v>1</v>
      </c>
      <c r="T90" s="2" t="s">
        <v>14</v>
      </c>
      <c r="U90" s="4">
        <v>2</v>
      </c>
    </row>
    <row r="91" spans="1:21" x14ac:dyDescent="0.25">
      <c r="A91" s="1">
        <v>90</v>
      </c>
      <c r="B91" s="2">
        <v>0</v>
      </c>
      <c r="C91" s="2" t="s">
        <v>1</v>
      </c>
      <c r="D91" s="16">
        <v>162</v>
      </c>
      <c r="E91" s="4">
        <v>44</v>
      </c>
      <c r="F91" s="2">
        <v>3</v>
      </c>
      <c r="G91" s="2" t="s">
        <v>6</v>
      </c>
      <c r="H91" s="4">
        <v>2</v>
      </c>
      <c r="I91" s="2">
        <v>1</v>
      </c>
      <c r="J91" s="2" t="s">
        <v>9</v>
      </c>
      <c r="K91" s="2">
        <v>0</v>
      </c>
      <c r="L91" s="2" t="s">
        <v>12</v>
      </c>
      <c r="M91" s="4">
        <v>6.7</v>
      </c>
      <c r="N91" s="4">
        <v>7.3</v>
      </c>
      <c r="O91" s="2">
        <v>1</v>
      </c>
      <c r="P91" s="2" t="s">
        <v>14</v>
      </c>
      <c r="Q91" s="2">
        <v>1</v>
      </c>
      <c r="R91" s="2" t="s">
        <v>14</v>
      </c>
      <c r="S91" s="2">
        <v>1</v>
      </c>
      <c r="T91" s="2" t="s">
        <v>14</v>
      </c>
      <c r="U91" s="4">
        <v>70</v>
      </c>
    </row>
    <row r="92" spans="1:21" x14ac:dyDescent="0.25">
      <c r="A92" s="1">
        <v>91</v>
      </c>
      <c r="B92" s="2">
        <v>0</v>
      </c>
      <c r="C92" s="2" t="s">
        <v>1</v>
      </c>
      <c r="D92" s="16">
        <v>158</v>
      </c>
      <c r="E92" s="4">
        <v>51</v>
      </c>
      <c r="F92" s="2">
        <v>1</v>
      </c>
      <c r="G92" s="2" t="s">
        <v>4</v>
      </c>
      <c r="H92" s="4">
        <v>3</v>
      </c>
      <c r="I92" s="2">
        <v>3</v>
      </c>
      <c r="J92" s="2" t="s">
        <v>11</v>
      </c>
      <c r="K92" s="2">
        <v>1</v>
      </c>
      <c r="L92" s="2" t="s">
        <v>13</v>
      </c>
      <c r="M92" s="4">
        <v>5.6</v>
      </c>
      <c r="N92" s="4">
        <v>6.73</v>
      </c>
      <c r="O92" s="2">
        <v>1</v>
      </c>
      <c r="P92" s="2" t="s">
        <v>14</v>
      </c>
      <c r="Q92" s="2">
        <v>1</v>
      </c>
      <c r="R92" s="2" t="s">
        <v>14</v>
      </c>
      <c r="S92" s="2">
        <v>1</v>
      </c>
      <c r="T92" s="2" t="s">
        <v>14</v>
      </c>
      <c r="U92" s="4">
        <v>20</v>
      </c>
    </row>
    <row r="93" spans="1:21" x14ac:dyDescent="0.25">
      <c r="A93" s="1">
        <v>92</v>
      </c>
      <c r="B93" s="17"/>
      <c r="C93" s="17"/>
      <c r="D93" s="16">
        <v>176</v>
      </c>
      <c r="E93" s="4">
        <v>60</v>
      </c>
      <c r="F93" s="2">
        <v>3</v>
      </c>
      <c r="G93" s="2" t="s">
        <v>6</v>
      </c>
      <c r="H93" s="4">
        <v>1</v>
      </c>
      <c r="I93" s="2">
        <v>0</v>
      </c>
      <c r="J93" s="2" t="s">
        <v>8</v>
      </c>
      <c r="K93" s="2">
        <v>1</v>
      </c>
      <c r="L93" s="2" t="s">
        <v>13</v>
      </c>
      <c r="M93" s="4">
        <v>6.5</v>
      </c>
      <c r="N93" s="4">
        <v>6.1</v>
      </c>
      <c r="O93" s="2">
        <v>1</v>
      </c>
      <c r="P93" s="2" t="s">
        <v>14</v>
      </c>
      <c r="Q93" s="2">
        <v>0</v>
      </c>
      <c r="R93" s="2" t="s">
        <v>15</v>
      </c>
      <c r="S93" s="2">
        <v>1</v>
      </c>
      <c r="T93" s="2" t="s">
        <v>14</v>
      </c>
      <c r="U93" s="4">
        <v>30</v>
      </c>
    </row>
    <row r="94" spans="1:21" x14ac:dyDescent="0.25">
      <c r="A94" s="1">
        <v>93</v>
      </c>
      <c r="B94" s="2">
        <v>0</v>
      </c>
      <c r="C94" s="2" t="s">
        <v>1</v>
      </c>
      <c r="D94" s="16">
        <v>172</v>
      </c>
      <c r="E94" s="4">
        <v>63</v>
      </c>
      <c r="F94" s="2">
        <v>1</v>
      </c>
      <c r="G94" s="2" t="s">
        <v>4</v>
      </c>
      <c r="H94" s="4">
        <v>2</v>
      </c>
      <c r="I94" s="2">
        <v>2</v>
      </c>
      <c r="J94" s="2" t="s">
        <v>10</v>
      </c>
      <c r="K94" s="2">
        <v>0</v>
      </c>
      <c r="L94" s="2" t="s">
        <v>12</v>
      </c>
      <c r="M94" s="4">
        <v>8.5</v>
      </c>
      <c r="N94" s="4">
        <v>8.4</v>
      </c>
      <c r="O94" s="2">
        <v>1</v>
      </c>
      <c r="P94" s="2" t="s">
        <v>14</v>
      </c>
      <c r="Q94" s="2">
        <v>1</v>
      </c>
      <c r="R94" s="2" t="s">
        <v>14</v>
      </c>
      <c r="S94" s="2">
        <v>1</v>
      </c>
      <c r="T94" s="2" t="s">
        <v>14</v>
      </c>
      <c r="U94" s="4">
        <v>5</v>
      </c>
    </row>
    <row r="95" spans="1:21" x14ac:dyDescent="0.25">
      <c r="A95" s="1">
        <v>94</v>
      </c>
      <c r="B95" s="2">
        <v>1</v>
      </c>
      <c r="C95" s="2" t="s">
        <v>2</v>
      </c>
      <c r="D95" s="16">
        <v>180</v>
      </c>
      <c r="E95" s="4">
        <v>63</v>
      </c>
      <c r="F95" s="2">
        <v>2</v>
      </c>
      <c r="G95" s="2" t="s">
        <v>5</v>
      </c>
      <c r="H95" s="4">
        <v>3</v>
      </c>
      <c r="I95" s="2">
        <v>0</v>
      </c>
      <c r="J95" s="2" t="s">
        <v>8</v>
      </c>
      <c r="K95" s="2">
        <v>1</v>
      </c>
      <c r="L95" s="2" t="s">
        <v>13</v>
      </c>
      <c r="M95" s="4">
        <v>6.9</v>
      </c>
      <c r="N95" s="16"/>
      <c r="O95" s="2">
        <v>1</v>
      </c>
      <c r="P95" s="2" t="s">
        <v>14</v>
      </c>
      <c r="Q95" s="2">
        <v>1</v>
      </c>
      <c r="R95" s="2" t="s">
        <v>14</v>
      </c>
      <c r="S95" s="2">
        <v>1</v>
      </c>
      <c r="T95" s="2" t="s">
        <v>14</v>
      </c>
      <c r="U95" s="4">
        <v>50</v>
      </c>
    </row>
    <row r="96" spans="1:21" x14ac:dyDescent="0.25">
      <c r="A96" s="1">
        <v>95</v>
      </c>
      <c r="B96" s="2">
        <v>0</v>
      </c>
      <c r="C96" s="2" t="s">
        <v>1</v>
      </c>
      <c r="D96" s="16">
        <v>171</v>
      </c>
      <c r="E96" s="4">
        <v>62</v>
      </c>
      <c r="F96" s="2">
        <v>1</v>
      </c>
      <c r="G96" s="2" t="s">
        <v>4</v>
      </c>
      <c r="H96" s="4">
        <v>2</v>
      </c>
      <c r="I96" s="2">
        <v>0</v>
      </c>
      <c r="J96" s="2" t="s">
        <v>8</v>
      </c>
      <c r="K96" s="2">
        <v>1</v>
      </c>
      <c r="L96" s="2" t="s">
        <v>13</v>
      </c>
      <c r="M96" s="4">
        <v>5.8</v>
      </c>
      <c r="N96" s="4">
        <v>5.8</v>
      </c>
      <c r="O96" s="2">
        <v>1</v>
      </c>
      <c r="P96" s="2" t="s">
        <v>14</v>
      </c>
      <c r="Q96" s="2">
        <v>1</v>
      </c>
      <c r="R96" s="2" t="s">
        <v>14</v>
      </c>
      <c r="S96" s="2">
        <v>1</v>
      </c>
      <c r="T96" s="2" t="s">
        <v>14</v>
      </c>
      <c r="U96" s="4">
        <v>4</v>
      </c>
    </row>
    <row r="97" spans="1:21" x14ac:dyDescent="0.25">
      <c r="A97" s="1">
        <v>96</v>
      </c>
      <c r="B97" s="2">
        <v>0</v>
      </c>
      <c r="C97" s="2" t="s">
        <v>1</v>
      </c>
      <c r="D97" s="16">
        <v>165</v>
      </c>
      <c r="E97" s="4">
        <v>54</v>
      </c>
      <c r="F97" s="2">
        <v>3</v>
      </c>
      <c r="G97" s="2" t="s">
        <v>6</v>
      </c>
      <c r="H97" s="4">
        <v>1</v>
      </c>
      <c r="I97" s="2">
        <v>0</v>
      </c>
      <c r="J97" s="2" t="s">
        <v>8</v>
      </c>
      <c r="K97" s="2">
        <v>1</v>
      </c>
      <c r="L97" s="2" t="s">
        <v>13</v>
      </c>
      <c r="M97" s="4">
        <v>5.6</v>
      </c>
      <c r="N97" s="4">
        <v>6.2</v>
      </c>
      <c r="O97" s="2">
        <v>1</v>
      </c>
      <c r="P97" s="2" t="s">
        <v>14</v>
      </c>
      <c r="Q97" s="2">
        <v>1</v>
      </c>
      <c r="R97" s="2" t="s">
        <v>14</v>
      </c>
      <c r="S97" s="2">
        <v>1</v>
      </c>
      <c r="T97" s="2" t="s">
        <v>14</v>
      </c>
      <c r="U97" s="4">
        <v>12</v>
      </c>
    </row>
    <row r="98" spans="1:21" x14ac:dyDescent="0.25">
      <c r="A98" s="1">
        <v>97</v>
      </c>
      <c r="B98" s="2">
        <v>1</v>
      </c>
      <c r="C98" s="2" t="s">
        <v>2</v>
      </c>
      <c r="D98" s="16">
        <v>182</v>
      </c>
      <c r="E98" s="4">
        <v>65</v>
      </c>
      <c r="F98" s="2">
        <v>2</v>
      </c>
      <c r="G98" s="2" t="s">
        <v>5</v>
      </c>
      <c r="H98" s="4">
        <v>2</v>
      </c>
      <c r="I98" s="2">
        <v>0</v>
      </c>
      <c r="J98" s="2" t="s">
        <v>8</v>
      </c>
      <c r="K98" s="2">
        <v>1</v>
      </c>
      <c r="L98" s="2" t="s">
        <v>13</v>
      </c>
      <c r="M98" s="4">
        <v>9.1</v>
      </c>
      <c r="N98" s="4">
        <v>10.1</v>
      </c>
      <c r="O98" s="2">
        <v>1</v>
      </c>
      <c r="P98" s="2" t="s">
        <v>14</v>
      </c>
      <c r="Q98" s="2">
        <v>1</v>
      </c>
      <c r="R98" s="2" t="s">
        <v>14</v>
      </c>
      <c r="S98" s="2">
        <v>1</v>
      </c>
      <c r="T98" s="2" t="s">
        <v>14</v>
      </c>
      <c r="U98" s="4">
        <v>5</v>
      </c>
    </row>
    <row r="99" spans="1:21" x14ac:dyDescent="0.25">
      <c r="A99" s="1">
        <v>98</v>
      </c>
      <c r="B99" s="2">
        <v>0</v>
      </c>
      <c r="C99" s="2" t="s">
        <v>1</v>
      </c>
      <c r="D99" s="16">
        <v>165</v>
      </c>
      <c r="E99" s="4">
        <v>65</v>
      </c>
      <c r="F99" s="2">
        <v>1</v>
      </c>
      <c r="G99" s="2" t="s">
        <v>4</v>
      </c>
      <c r="H99" s="4">
        <v>1</v>
      </c>
      <c r="I99" s="2">
        <v>1</v>
      </c>
      <c r="J99" s="2" t="s">
        <v>9</v>
      </c>
      <c r="K99" s="2">
        <v>1</v>
      </c>
      <c r="L99" s="2" t="s">
        <v>13</v>
      </c>
      <c r="M99" s="4">
        <v>7.8</v>
      </c>
      <c r="N99" s="4">
        <v>9.8000000000000007</v>
      </c>
      <c r="O99" s="2">
        <v>1</v>
      </c>
      <c r="P99" s="2" t="s">
        <v>14</v>
      </c>
      <c r="Q99" s="2">
        <v>1</v>
      </c>
      <c r="R99" s="2" t="s">
        <v>14</v>
      </c>
      <c r="S99" s="2">
        <v>1</v>
      </c>
      <c r="T99" s="2" t="s">
        <v>14</v>
      </c>
      <c r="U99" s="4">
        <v>70</v>
      </c>
    </row>
    <row r="100" spans="1:21" x14ac:dyDescent="0.25">
      <c r="A100" s="1">
        <v>99</v>
      </c>
      <c r="B100" s="2">
        <v>0</v>
      </c>
      <c r="C100" s="2" t="s">
        <v>1</v>
      </c>
      <c r="D100" s="16">
        <v>165</v>
      </c>
      <c r="E100" s="4">
        <v>57</v>
      </c>
      <c r="F100" s="2">
        <v>1</v>
      </c>
      <c r="G100" s="2" t="s">
        <v>4</v>
      </c>
      <c r="H100" s="4">
        <v>2</v>
      </c>
      <c r="I100" s="2">
        <v>2</v>
      </c>
      <c r="J100" s="2" t="s">
        <v>10</v>
      </c>
      <c r="K100" s="2">
        <v>0</v>
      </c>
      <c r="L100" s="2" t="s">
        <v>12</v>
      </c>
      <c r="M100" s="4">
        <v>8.25</v>
      </c>
      <c r="N100" s="4">
        <v>11.016999999999999</v>
      </c>
      <c r="O100" s="2">
        <v>1</v>
      </c>
      <c r="P100" s="2" t="s">
        <v>14</v>
      </c>
      <c r="Q100" s="2">
        <v>1</v>
      </c>
      <c r="R100" s="2" t="s">
        <v>14</v>
      </c>
      <c r="S100" s="2">
        <v>1</v>
      </c>
      <c r="T100" s="2" t="s">
        <v>14</v>
      </c>
      <c r="U100" s="4">
        <v>35</v>
      </c>
    </row>
    <row r="101" spans="1:21" x14ac:dyDescent="0.25">
      <c r="A101" s="1">
        <v>100</v>
      </c>
      <c r="B101" s="2">
        <v>1</v>
      </c>
      <c r="C101" s="2" t="s">
        <v>2</v>
      </c>
      <c r="D101" s="4">
        <v>185</v>
      </c>
      <c r="E101" s="4">
        <v>57</v>
      </c>
      <c r="F101" s="2">
        <v>2</v>
      </c>
      <c r="G101" s="2" t="s">
        <v>5</v>
      </c>
      <c r="H101" s="4">
        <v>2</v>
      </c>
      <c r="I101" s="2">
        <v>0</v>
      </c>
      <c r="J101" s="2" t="s">
        <v>8</v>
      </c>
      <c r="K101" s="2">
        <v>0</v>
      </c>
      <c r="L101" s="2" t="s">
        <v>12</v>
      </c>
      <c r="M101" s="4">
        <v>8</v>
      </c>
      <c r="N101" s="4">
        <v>8</v>
      </c>
      <c r="O101" s="2">
        <v>1</v>
      </c>
      <c r="P101" s="2" t="s">
        <v>14</v>
      </c>
      <c r="Q101" s="2">
        <v>1</v>
      </c>
      <c r="R101" s="2" t="s">
        <v>14</v>
      </c>
      <c r="S101" s="2">
        <v>0</v>
      </c>
      <c r="T101" s="2" t="s">
        <v>15</v>
      </c>
      <c r="U101" s="4">
        <v>0</v>
      </c>
    </row>
    <row r="102" spans="1:21" x14ac:dyDescent="0.25">
      <c r="A102" s="1">
        <v>101</v>
      </c>
      <c r="B102" s="2">
        <v>0</v>
      </c>
      <c r="C102" s="2" t="s">
        <v>1</v>
      </c>
      <c r="D102" s="4">
        <v>165</v>
      </c>
      <c r="E102" s="4">
        <v>50</v>
      </c>
      <c r="F102" s="2">
        <v>2</v>
      </c>
      <c r="G102" s="2" t="s">
        <v>5</v>
      </c>
      <c r="H102" s="4">
        <v>2</v>
      </c>
      <c r="I102" s="2">
        <v>0</v>
      </c>
      <c r="J102" s="2" t="s">
        <v>8</v>
      </c>
      <c r="K102" s="2">
        <v>1</v>
      </c>
      <c r="L102" s="2" t="s">
        <v>13</v>
      </c>
      <c r="M102" s="4">
        <v>9.6999999999999993</v>
      </c>
      <c r="N102" s="4">
        <v>12.8</v>
      </c>
      <c r="O102" s="2">
        <v>1</v>
      </c>
      <c r="P102" s="2" t="s">
        <v>14</v>
      </c>
      <c r="Q102" s="2">
        <v>1</v>
      </c>
      <c r="R102" s="2" t="s">
        <v>14</v>
      </c>
      <c r="S102" s="2">
        <v>1</v>
      </c>
      <c r="T102" s="2" t="s">
        <v>14</v>
      </c>
      <c r="U102" s="4">
        <v>12</v>
      </c>
    </row>
    <row r="103" spans="1:21" x14ac:dyDescent="0.25">
      <c r="A103" s="1">
        <v>102</v>
      </c>
      <c r="B103" s="2">
        <v>0</v>
      </c>
      <c r="C103" s="2" t="s">
        <v>1</v>
      </c>
      <c r="D103" s="4">
        <v>173</v>
      </c>
      <c r="E103" s="4">
        <v>67</v>
      </c>
      <c r="F103" s="2">
        <v>2</v>
      </c>
      <c r="G103" s="2" t="s">
        <v>5</v>
      </c>
      <c r="H103" s="4">
        <v>2</v>
      </c>
      <c r="I103" s="2">
        <v>3</v>
      </c>
      <c r="J103" s="2" t="s">
        <v>11</v>
      </c>
      <c r="K103" s="2">
        <v>0</v>
      </c>
      <c r="L103" s="2" t="s">
        <v>12</v>
      </c>
      <c r="M103" s="4">
        <v>7.2</v>
      </c>
      <c r="N103" s="4">
        <v>6.2</v>
      </c>
      <c r="O103" s="2">
        <v>1</v>
      </c>
      <c r="P103" s="2" t="s">
        <v>14</v>
      </c>
      <c r="Q103" s="2">
        <v>1</v>
      </c>
      <c r="R103" s="2" t="s">
        <v>14</v>
      </c>
      <c r="S103" s="2">
        <v>1</v>
      </c>
      <c r="T103" s="2" t="s">
        <v>14</v>
      </c>
      <c r="U103" s="4">
        <v>50</v>
      </c>
    </row>
    <row r="104" spans="1:21" x14ac:dyDescent="0.25">
      <c r="A104" s="1">
        <v>103</v>
      </c>
      <c r="B104" s="2">
        <v>1</v>
      </c>
      <c r="C104" s="2" t="s">
        <v>2</v>
      </c>
      <c r="D104" s="4">
        <v>170</v>
      </c>
      <c r="E104" s="4">
        <v>72</v>
      </c>
      <c r="F104" s="2">
        <v>3</v>
      </c>
      <c r="G104" s="2" t="s">
        <v>6</v>
      </c>
      <c r="H104" s="4">
        <v>3</v>
      </c>
      <c r="I104" s="2">
        <v>0</v>
      </c>
      <c r="J104" s="2" t="s">
        <v>8</v>
      </c>
      <c r="K104" s="2">
        <v>1</v>
      </c>
      <c r="L104" s="2" t="s">
        <v>13</v>
      </c>
      <c r="M104" s="4">
        <v>7</v>
      </c>
      <c r="N104" s="4">
        <v>10</v>
      </c>
      <c r="O104" s="2">
        <v>1</v>
      </c>
      <c r="P104" s="2" t="s">
        <v>14</v>
      </c>
      <c r="Q104" s="2">
        <v>1</v>
      </c>
      <c r="R104" s="2" t="s">
        <v>14</v>
      </c>
      <c r="S104" s="2">
        <v>0</v>
      </c>
      <c r="T104" s="2" t="s">
        <v>15</v>
      </c>
      <c r="U104" s="4">
        <v>0</v>
      </c>
    </row>
    <row r="105" spans="1:21" x14ac:dyDescent="0.25">
      <c r="A105" s="1">
        <v>104</v>
      </c>
      <c r="B105" s="2">
        <v>1</v>
      </c>
      <c r="C105" s="2" t="s">
        <v>2</v>
      </c>
      <c r="D105" s="4">
        <v>189</v>
      </c>
      <c r="E105" s="4">
        <v>79</v>
      </c>
      <c r="F105" s="2">
        <v>2</v>
      </c>
      <c r="G105" s="2" t="s">
        <v>5</v>
      </c>
      <c r="H105" s="4">
        <v>2</v>
      </c>
      <c r="I105" s="2">
        <v>0</v>
      </c>
      <c r="J105" s="2" t="s">
        <v>8</v>
      </c>
      <c r="K105" s="2">
        <v>1</v>
      </c>
      <c r="L105" s="2" t="s">
        <v>13</v>
      </c>
      <c r="M105" s="4">
        <v>6.2</v>
      </c>
      <c r="N105" s="4">
        <v>7.3</v>
      </c>
      <c r="O105" s="2">
        <v>1</v>
      </c>
      <c r="P105" s="2" t="s">
        <v>14</v>
      </c>
      <c r="Q105" s="2">
        <v>1</v>
      </c>
      <c r="R105" s="2" t="s">
        <v>14</v>
      </c>
      <c r="S105" s="2">
        <v>1</v>
      </c>
      <c r="T105" s="2" t="s">
        <v>14</v>
      </c>
      <c r="U105" s="4">
        <v>6</v>
      </c>
    </row>
    <row r="106" spans="1:21" x14ac:dyDescent="0.25">
      <c r="A106" s="1">
        <v>105</v>
      </c>
      <c r="B106" s="2">
        <v>1</v>
      </c>
      <c r="C106" s="2" t="s">
        <v>2</v>
      </c>
      <c r="D106" s="4">
        <v>170</v>
      </c>
      <c r="E106" s="4">
        <v>64</v>
      </c>
      <c r="F106" s="2">
        <v>3</v>
      </c>
      <c r="G106" s="2" t="s">
        <v>6</v>
      </c>
      <c r="H106" s="4">
        <v>3</v>
      </c>
      <c r="I106" s="2">
        <v>3</v>
      </c>
      <c r="J106" s="2" t="s">
        <v>11</v>
      </c>
      <c r="K106" s="2">
        <v>0</v>
      </c>
      <c r="L106" s="2" t="s">
        <v>12</v>
      </c>
      <c r="M106" s="4">
        <v>8</v>
      </c>
      <c r="N106" s="4">
        <v>8</v>
      </c>
      <c r="O106" s="2">
        <v>1</v>
      </c>
      <c r="P106" s="2" t="s">
        <v>14</v>
      </c>
      <c r="Q106" s="2">
        <v>1</v>
      </c>
      <c r="R106" s="2" t="s">
        <v>14</v>
      </c>
      <c r="S106" s="2">
        <v>1</v>
      </c>
      <c r="T106" s="2" t="s">
        <v>14</v>
      </c>
      <c r="U106" s="4">
        <v>5</v>
      </c>
    </row>
    <row r="107" spans="1:21" x14ac:dyDescent="0.25">
      <c r="A107" s="1">
        <v>106</v>
      </c>
      <c r="B107" s="2">
        <v>1</v>
      </c>
      <c r="C107" s="2" t="s">
        <v>2</v>
      </c>
      <c r="D107" s="4">
        <v>185</v>
      </c>
      <c r="E107" s="4">
        <v>95</v>
      </c>
      <c r="F107" s="2">
        <v>3</v>
      </c>
      <c r="G107" s="2" t="s">
        <v>6</v>
      </c>
      <c r="H107" s="4">
        <v>2</v>
      </c>
      <c r="I107" s="2">
        <v>3</v>
      </c>
      <c r="J107" s="2" t="s">
        <v>11</v>
      </c>
      <c r="K107" s="2">
        <v>0</v>
      </c>
      <c r="L107" s="2" t="s">
        <v>12</v>
      </c>
      <c r="M107" s="4">
        <v>6</v>
      </c>
      <c r="N107" s="4">
        <v>8</v>
      </c>
      <c r="O107" s="2">
        <v>1</v>
      </c>
      <c r="P107" s="2" t="s">
        <v>14</v>
      </c>
      <c r="Q107" s="2">
        <v>1</v>
      </c>
      <c r="R107" s="2" t="s">
        <v>14</v>
      </c>
      <c r="S107" s="2">
        <v>1</v>
      </c>
      <c r="T107" s="2" t="s">
        <v>14</v>
      </c>
      <c r="U107" s="4">
        <v>10</v>
      </c>
    </row>
    <row r="108" spans="1:21" x14ac:dyDescent="0.25">
      <c r="A108" s="1">
        <v>107</v>
      </c>
      <c r="B108" s="2">
        <v>0</v>
      </c>
      <c r="C108" s="2" t="s">
        <v>1</v>
      </c>
      <c r="D108" s="4">
        <v>165</v>
      </c>
      <c r="E108" s="4">
        <v>58</v>
      </c>
      <c r="F108" s="2">
        <v>1</v>
      </c>
      <c r="G108" s="2" t="s">
        <v>4</v>
      </c>
      <c r="H108" s="4">
        <v>2</v>
      </c>
      <c r="I108" s="2">
        <v>0</v>
      </c>
      <c r="J108" s="2" t="s">
        <v>8</v>
      </c>
      <c r="K108" s="2">
        <v>1</v>
      </c>
      <c r="L108" s="2" t="s">
        <v>13</v>
      </c>
      <c r="M108" s="4">
        <v>9</v>
      </c>
      <c r="N108" s="4">
        <v>11.141</v>
      </c>
      <c r="O108" s="2">
        <v>1</v>
      </c>
      <c r="P108" s="2" t="s">
        <v>14</v>
      </c>
      <c r="Q108" s="2">
        <v>1</v>
      </c>
      <c r="R108" s="2" t="s">
        <v>14</v>
      </c>
      <c r="S108" s="2">
        <v>1</v>
      </c>
      <c r="T108" s="2" t="s">
        <v>14</v>
      </c>
      <c r="U108" s="4">
        <v>70</v>
      </c>
    </row>
    <row r="109" spans="1:21" x14ac:dyDescent="0.25">
      <c r="A109" s="1">
        <v>108</v>
      </c>
      <c r="B109" s="2">
        <v>1</v>
      </c>
      <c r="C109" s="2" t="s">
        <v>2</v>
      </c>
      <c r="D109" s="4">
        <v>189</v>
      </c>
      <c r="E109" s="4">
        <v>83</v>
      </c>
      <c r="F109" s="2">
        <v>2</v>
      </c>
      <c r="G109" s="2" t="s">
        <v>5</v>
      </c>
      <c r="H109" s="4"/>
      <c r="I109" s="2">
        <v>3</v>
      </c>
      <c r="J109" s="2" t="s">
        <v>11</v>
      </c>
      <c r="K109" s="2">
        <v>0</v>
      </c>
      <c r="L109" s="2" t="s">
        <v>12</v>
      </c>
      <c r="M109" s="4">
        <v>8.1</v>
      </c>
      <c r="N109" s="4">
        <v>11.8</v>
      </c>
      <c r="O109" s="2">
        <v>1</v>
      </c>
      <c r="P109" s="2" t="s">
        <v>14</v>
      </c>
      <c r="Q109" s="2">
        <v>1</v>
      </c>
      <c r="R109" s="2" t="s">
        <v>14</v>
      </c>
      <c r="S109" s="2">
        <v>1</v>
      </c>
      <c r="T109" s="2" t="s">
        <v>14</v>
      </c>
      <c r="U109" s="4">
        <v>20</v>
      </c>
    </row>
    <row r="110" spans="1:21" x14ac:dyDescent="0.25">
      <c r="A110" s="1">
        <v>109</v>
      </c>
      <c r="B110" s="2">
        <v>1</v>
      </c>
      <c r="C110" s="2" t="s">
        <v>2</v>
      </c>
      <c r="D110" s="4">
        <v>180</v>
      </c>
      <c r="E110" s="4">
        <v>75</v>
      </c>
      <c r="F110" s="2">
        <v>3</v>
      </c>
      <c r="G110" s="2" t="s">
        <v>6</v>
      </c>
      <c r="H110" s="4">
        <v>2</v>
      </c>
      <c r="I110" s="2">
        <v>1</v>
      </c>
      <c r="J110" s="2" t="s">
        <v>9</v>
      </c>
      <c r="K110" s="2">
        <v>0</v>
      </c>
      <c r="L110" s="2" t="s">
        <v>12</v>
      </c>
      <c r="M110" s="4">
        <v>5.5</v>
      </c>
      <c r="N110" s="4">
        <v>6.9</v>
      </c>
      <c r="O110" s="2">
        <v>1</v>
      </c>
      <c r="P110" s="2" t="s">
        <v>14</v>
      </c>
      <c r="Q110" s="2">
        <v>1</v>
      </c>
      <c r="R110" s="2" t="s">
        <v>14</v>
      </c>
      <c r="S110" s="2">
        <v>1</v>
      </c>
      <c r="T110" s="2" t="s">
        <v>14</v>
      </c>
      <c r="U110" s="4">
        <v>8</v>
      </c>
    </row>
    <row r="111" spans="1:21" x14ac:dyDescent="0.25">
      <c r="A111" s="1">
        <v>110</v>
      </c>
      <c r="B111" s="2">
        <v>1</v>
      </c>
      <c r="C111" s="2" t="s">
        <v>2</v>
      </c>
      <c r="D111" s="4">
        <v>192</v>
      </c>
      <c r="E111" s="4">
        <v>83</v>
      </c>
      <c r="F111" s="2">
        <v>4</v>
      </c>
      <c r="G111" s="2" t="s">
        <v>7</v>
      </c>
      <c r="H111" s="4">
        <v>2</v>
      </c>
      <c r="I111" s="2">
        <v>0</v>
      </c>
      <c r="J111" s="2" t="s">
        <v>8</v>
      </c>
      <c r="K111" s="2">
        <v>1</v>
      </c>
      <c r="L111" s="2" t="s">
        <v>13</v>
      </c>
      <c r="M111" s="4">
        <v>6</v>
      </c>
      <c r="N111" s="4">
        <v>5.2</v>
      </c>
      <c r="O111" s="17"/>
      <c r="P111" s="17"/>
      <c r="Q111" s="2">
        <v>1</v>
      </c>
      <c r="R111" s="2" t="s">
        <v>14</v>
      </c>
      <c r="S111" s="2">
        <v>1</v>
      </c>
      <c r="T111" s="2" t="s">
        <v>14</v>
      </c>
      <c r="U111" s="4">
        <v>15</v>
      </c>
    </row>
    <row r="112" spans="1:21" x14ac:dyDescent="0.25">
      <c r="A112" s="1">
        <v>111</v>
      </c>
      <c r="B112" s="2">
        <v>1</v>
      </c>
      <c r="C112" s="2" t="s">
        <v>2</v>
      </c>
      <c r="D112" s="4">
        <v>193</v>
      </c>
      <c r="E112" s="4">
        <v>85</v>
      </c>
      <c r="F112" s="2">
        <v>2</v>
      </c>
      <c r="G112" s="2" t="s">
        <v>5</v>
      </c>
      <c r="H112" s="4">
        <v>3</v>
      </c>
      <c r="I112" s="2">
        <v>3</v>
      </c>
      <c r="J112" s="2" t="s">
        <v>11</v>
      </c>
      <c r="K112" s="17"/>
      <c r="L112" s="17"/>
      <c r="M112" s="4">
        <v>6.3</v>
      </c>
      <c r="N112" s="4">
        <v>9.1999999999999993</v>
      </c>
      <c r="O112" s="2">
        <v>1</v>
      </c>
      <c r="P112" s="2" t="s">
        <v>14</v>
      </c>
      <c r="Q112" s="2">
        <v>1</v>
      </c>
      <c r="R112" s="2" t="s">
        <v>14</v>
      </c>
      <c r="S112" s="2">
        <v>1</v>
      </c>
      <c r="T112" s="2" t="s">
        <v>14</v>
      </c>
      <c r="U112" s="4">
        <v>10</v>
      </c>
    </row>
    <row r="113" spans="1:21" x14ac:dyDescent="0.25">
      <c r="A113" s="1">
        <v>112</v>
      </c>
      <c r="B113" s="2">
        <v>0</v>
      </c>
      <c r="C113" s="2" t="s">
        <v>1</v>
      </c>
      <c r="D113" s="4">
        <v>165</v>
      </c>
      <c r="E113" s="4">
        <v>56</v>
      </c>
      <c r="F113" s="2">
        <v>1</v>
      </c>
      <c r="G113" s="2" t="s">
        <v>4</v>
      </c>
      <c r="H113" s="4">
        <v>2</v>
      </c>
      <c r="I113" s="2">
        <v>2</v>
      </c>
      <c r="J113" s="2" t="s">
        <v>10</v>
      </c>
      <c r="K113" s="2">
        <v>0</v>
      </c>
      <c r="L113" s="2" t="s">
        <v>12</v>
      </c>
      <c r="M113" s="4">
        <v>8.1</v>
      </c>
      <c r="N113" s="4">
        <v>11.2</v>
      </c>
      <c r="O113" s="2">
        <v>1</v>
      </c>
      <c r="P113" s="2" t="s">
        <v>14</v>
      </c>
      <c r="Q113" s="2">
        <v>1</v>
      </c>
      <c r="R113" s="2" t="s">
        <v>14</v>
      </c>
      <c r="S113" s="2">
        <v>1</v>
      </c>
      <c r="T113" s="2" t="s">
        <v>14</v>
      </c>
      <c r="U113" s="4">
        <v>5</v>
      </c>
    </row>
    <row r="114" spans="1:21" x14ac:dyDescent="0.25">
      <c r="A114" s="1">
        <v>113</v>
      </c>
      <c r="B114" s="2">
        <v>1</v>
      </c>
      <c r="C114" s="2" t="s">
        <v>2</v>
      </c>
      <c r="D114" s="4">
        <v>170</v>
      </c>
      <c r="E114" s="4">
        <v>60</v>
      </c>
      <c r="F114" s="2">
        <v>2</v>
      </c>
      <c r="G114" s="2" t="s">
        <v>5</v>
      </c>
      <c r="H114" s="4">
        <v>2</v>
      </c>
      <c r="I114" s="2">
        <v>1</v>
      </c>
      <c r="J114" s="2" t="s">
        <v>9</v>
      </c>
      <c r="K114" s="2">
        <v>0</v>
      </c>
      <c r="L114" s="2" t="s">
        <v>12</v>
      </c>
      <c r="M114" s="4">
        <v>6.6</v>
      </c>
      <c r="N114" s="4">
        <v>10.016999999999999</v>
      </c>
      <c r="O114" s="2">
        <v>1</v>
      </c>
      <c r="P114" s="2" t="s">
        <v>14</v>
      </c>
      <c r="Q114" s="2">
        <v>1</v>
      </c>
      <c r="R114" s="2" t="s">
        <v>14</v>
      </c>
      <c r="S114" s="2">
        <v>1</v>
      </c>
      <c r="T114" s="2" t="s">
        <v>14</v>
      </c>
      <c r="U114" s="4">
        <v>5</v>
      </c>
    </row>
    <row r="115" spans="1:21" x14ac:dyDescent="0.25">
      <c r="A115" s="1">
        <v>114</v>
      </c>
      <c r="B115" s="2">
        <v>0</v>
      </c>
      <c r="C115" s="2" t="s">
        <v>1</v>
      </c>
      <c r="D115" s="4">
        <v>167</v>
      </c>
      <c r="E115" s="4">
        <v>59</v>
      </c>
      <c r="F115" s="2">
        <v>1</v>
      </c>
      <c r="G115" s="2" t="s">
        <v>4</v>
      </c>
      <c r="H115" s="4">
        <v>2</v>
      </c>
      <c r="I115" s="2">
        <v>3</v>
      </c>
      <c r="J115" s="2" t="s">
        <v>11</v>
      </c>
      <c r="K115" s="2">
        <v>0</v>
      </c>
      <c r="L115" s="2" t="s">
        <v>12</v>
      </c>
      <c r="M115" s="4">
        <v>5.9</v>
      </c>
      <c r="N115" s="4">
        <v>6.2</v>
      </c>
      <c r="O115" s="2">
        <v>1</v>
      </c>
      <c r="P115" s="2" t="s">
        <v>14</v>
      </c>
      <c r="Q115" s="2">
        <v>1</v>
      </c>
      <c r="R115" s="2" t="s">
        <v>14</v>
      </c>
      <c r="S115" s="2">
        <v>1</v>
      </c>
      <c r="T115" s="2" t="s">
        <v>14</v>
      </c>
      <c r="U115" s="4">
        <v>1</v>
      </c>
    </row>
    <row r="116" spans="1:21" x14ac:dyDescent="0.25">
      <c r="A116" s="1">
        <v>115</v>
      </c>
      <c r="B116" s="2">
        <v>1</v>
      </c>
      <c r="C116" s="2" t="s">
        <v>2</v>
      </c>
      <c r="D116" s="4">
        <v>170</v>
      </c>
      <c r="E116" s="4">
        <v>90</v>
      </c>
      <c r="F116" s="2">
        <v>1</v>
      </c>
      <c r="G116" s="2" t="s">
        <v>4</v>
      </c>
      <c r="H116" s="4">
        <v>2</v>
      </c>
      <c r="I116" s="2">
        <v>0</v>
      </c>
      <c r="J116" s="2" t="s">
        <v>8</v>
      </c>
      <c r="K116" s="2">
        <v>1</v>
      </c>
      <c r="L116" s="2" t="s">
        <v>13</v>
      </c>
      <c r="M116" s="4">
        <v>6.5</v>
      </c>
      <c r="N116" s="4">
        <v>6.5</v>
      </c>
      <c r="O116" s="2">
        <v>1</v>
      </c>
      <c r="P116" s="2" t="s">
        <v>14</v>
      </c>
      <c r="Q116" s="2">
        <v>1</v>
      </c>
      <c r="R116" s="2" t="s">
        <v>14</v>
      </c>
      <c r="S116" s="2">
        <v>1</v>
      </c>
      <c r="T116" s="2" t="s">
        <v>14</v>
      </c>
      <c r="U116" s="4">
        <v>1</v>
      </c>
    </row>
    <row r="117" spans="1:21" x14ac:dyDescent="0.25">
      <c r="A117" s="1">
        <v>116</v>
      </c>
      <c r="B117" s="2">
        <v>1</v>
      </c>
      <c r="C117" s="2" t="s">
        <v>2</v>
      </c>
      <c r="D117" s="4">
        <v>168</v>
      </c>
      <c r="E117" s="4">
        <v>58</v>
      </c>
      <c r="F117" s="2">
        <v>2</v>
      </c>
      <c r="G117" s="2" t="s">
        <v>5</v>
      </c>
      <c r="H117" s="4">
        <v>2</v>
      </c>
      <c r="I117" s="2">
        <v>0</v>
      </c>
      <c r="J117" s="2" t="s">
        <v>8</v>
      </c>
      <c r="K117" s="2">
        <v>1</v>
      </c>
      <c r="L117" s="2" t="s">
        <v>13</v>
      </c>
      <c r="M117" s="4">
        <v>6</v>
      </c>
      <c r="N117" s="4">
        <v>5</v>
      </c>
      <c r="O117" s="2">
        <v>1</v>
      </c>
      <c r="P117" s="2" t="s">
        <v>14</v>
      </c>
      <c r="Q117" s="2">
        <v>1</v>
      </c>
      <c r="R117" s="2" t="s">
        <v>14</v>
      </c>
      <c r="S117" s="2">
        <v>1</v>
      </c>
      <c r="T117" s="2" t="s">
        <v>14</v>
      </c>
      <c r="U117" s="4">
        <v>10</v>
      </c>
    </row>
    <row r="118" spans="1:21" x14ac:dyDescent="0.25">
      <c r="A118" s="1">
        <v>117</v>
      </c>
      <c r="B118" s="2">
        <v>0</v>
      </c>
      <c r="C118" s="2" t="s">
        <v>1</v>
      </c>
      <c r="D118" s="4">
        <v>169</v>
      </c>
      <c r="E118" s="4">
        <v>51</v>
      </c>
      <c r="F118" s="2">
        <v>1</v>
      </c>
      <c r="G118" s="2" t="s">
        <v>4</v>
      </c>
      <c r="H118" s="4"/>
      <c r="I118" s="2">
        <v>2</v>
      </c>
      <c r="J118" s="2" t="s">
        <v>10</v>
      </c>
      <c r="K118" s="2">
        <v>0</v>
      </c>
      <c r="L118" s="2" t="s">
        <v>12</v>
      </c>
      <c r="M118" s="4">
        <v>5.8</v>
      </c>
      <c r="N118" s="4">
        <v>5.2</v>
      </c>
      <c r="O118" s="2">
        <v>1</v>
      </c>
      <c r="P118" s="2" t="s">
        <v>14</v>
      </c>
      <c r="Q118" s="2">
        <v>1</v>
      </c>
      <c r="R118" s="2" t="s">
        <v>14</v>
      </c>
      <c r="S118" s="2">
        <v>1</v>
      </c>
      <c r="T118" s="2" t="s">
        <v>14</v>
      </c>
      <c r="U118" s="4">
        <v>10</v>
      </c>
    </row>
    <row r="119" spans="1:21" x14ac:dyDescent="0.25">
      <c r="A119" s="1">
        <v>118</v>
      </c>
      <c r="B119" s="2">
        <v>0</v>
      </c>
      <c r="C119" s="2" t="s">
        <v>1</v>
      </c>
      <c r="D119" s="4">
        <v>170</v>
      </c>
      <c r="E119" s="4">
        <v>70</v>
      </c>
      <c r="F119" s="2">
        <v>1</v>
      </c>
      <c r="G119" s="2" t="s">
        <v>4</v>
      </c>
      <c r="H119" s="4">
        <v>2</v>
      </c>
      <c r="I119" s="2">
        <v>0</v>
      </c>
      <c r="J119" s="2" t="s">
        <v>8</v>
      </c>
      <c r="K119" s="2">
        <v>0</v>
      </c>
      <c r="L119" s="2" t="s">
        <v>12</v>
      </c>
      <c r="M119" s="4">
        <v>7.5</v>
      </c>
      <c r="N119" s="4">
        <v>10.5</v>
      </c>
      <c r="O119" s="2">
        <v>1</v>
      </c>
      <c r="P119" s="2" t="s">
        <v>14</v>
      </c>
      <c r="Q119" s="2">
        <v>1</v>
      </c>
      <c r="R119" s="2" t="s">
        <v>14</v>
      </c>
      <c r="S119" s="2">
        <v>1</v>
      </c>
      <c r="T119" s="2" t="s">
        <v>14</v>
      </c>
      <c r="U119" s="4">
        <v>70</v>
      </c>
    </row>
    <row r="120" spans="1:21" x14ac:dyDescent="0.25">
      <c r="A120" s="1">
        <v>119</v>
      </c>
      <c r="B120" s="2">
        <v>1</v>
      </c>
      <c r="C120" s="2" t="s">
        <v>2</v>
      </c>
      <c r="D120" s="4">
        <v>176</v>
      </c>
      <c r="E120" s="4">
        <v>75</v>
      </c>
      <c r="F120" s="2">
        <v>3</v>
      </c>
      <c r="G120" s="2" t="s">
        <v>6</v>
      </c>
      <c r="H120" s="4"/>
      <c r="I120" s="2">
        <v>0</v>
      </c>
      <c r="J120" s="2" t="s">
        <v>8</v>
      </c>
      <c r="K120" s="2">
        <v>0</v>
      </c>
      <c r="L120" s="2" t="s">
        <v>12</v>
      </c>
      <c r="M120" s="4">
        <v>5.2</v>
      </c>
      <c r="N120" s="4">
        <v>6.3</v>
      </c>
      <c r="O120" s="2">
        <v>1</v>
      </c>
      <c r="P120" s="2" t="s">
        <v>14</v>
      </c>
      <c r="Q120" s="2">
        <v>1</v>
      </c>
      <c r="R120" s="2" t="s">
        <v>14</v>
      </c>
      <c r="S120" s="2">
        <v>1</v>
      </c>
      <c r="T120" s="2" t="s">
        <v>14</v>
      </c>
      <c r="U120" s="4">
        <v>12</v>
      </c>
    </row>
    <row r="121" spans="1:21" x14ac:dyDescent="0.25">
      <c r="A121" s="1">
        <v>120</v>
      </c>
      <c r="B121" s="2">
        <v>1</v>
      </c>
      <c r="C121" s="2" t="s">
        <v>2</v>
      </c>
      <c r="D121" s="4">
        <v>173</v>
      </c>
      <c r="E121" s="4">
        <v>67</v>
      </c>
      <c r="F121" s="2">
        <v>2</v>
      </c>
      <c r="G121" s="2" t="s">
        <v>5</v>
      </c>
      <c r="H121" s="4">
        <v>2</v>
      </c>
      <c r="I121" s="2">
        <v>0</v>
      </c>
      <c r="J121" s="2" t="s">
        <v>8</v>
      </c>
      <c r="K121" s="2">
        <v>1</v>
      </c>
      <c r="L121" s="2" t="s">
        <v>13</v>
      </c>
      <c r="M121" s="4">
        <v>5.9</v>
      </c>
      <c r="N121" s="4">
        <v>7.4</v>
      </c>
      <c r="O121" s="2">
        <v>0</v>
      </c>
      <c r="P121" s="2" t="s">
        <v>15</v>
      </c>
      <c r="Q121" s="2">
        <v>1</v>
      </c>
      <c r="R121" s="2" t="s">
        <v>14</v>
      </c>
      <c r="S121" s="2">
        <v>1</v>
      </c>
      <c r="T121" s="2" t="s">
        <v>14</v>
      </c>
      <c r="U121" s="4">
        <v>10</v>
      </c>
    </row>
    <row r="122" spans="1:21" x14ac:dyDescent="0.25">
      <c r="A122" s="1">
        <v>121</v>
      </c>
      <c r="B122" s="2">
        <v>1</v>
      </c>
      <c r="C122" s="2" t="s">
        <v>2</v>
      </c>
      <c r="D122" s="4">
        <v>163</v>
      </c>
      <c r="E122" s="4">
        <v>45</v>
      </c>
      <c r="F122" s="2">
        <v>2</v>
      </c>
      <c r="G122" s="2" t="s">
        <v>5</v>
      </c>
      <c r="H122" s="4">
        <v>5</v>
      </c>
      <c r="I122" s="2">
        <v>2</v>
      </c>
      <c r="J122" s="2" t="s">
        <v>10</v>
      </c>
      <c r="K122" s="2">
        <v>0</v>
      </c>
      <c r="L122" s="2" t="s">
        <v>12</v>
      </c>
      <c r="M122" s="4">
        <v>6.5</v>
      </c>
      <c r="N122" s="4">
        <v>9</v>
      </c>
      <c r="O122" s="2">
        <v>1</v>
      </c>
      <c r="P122" s="2" t="s">
        <v>14</v>
      </c>
      <c r="Q122" s="2">
        <v>1</v>
      </c>
      <c r="R122" s="2" t="s">
        <v>14</v>
      </c>
      <c r="S122" s="2">
        <v>1</v>
      </c>
      <c r="T122" s="2" t="s">
        <v>14</v>
      </c>
      <c r="U122" s="4">
        <v>7</v>
      </c>
    </row>
    <row r="123" spans="1:21" x14ac:dyDescent="0.25">
      <c r="A123" s="1">
        <v>122</v>
      </c>
      <c r="B123" s="2">
        <v>0</v>
      </c>
      <c r="C123" s="2" t="s">
        <v>1</v>
      </c>
      <c r="D123" s="4">
        <v>162</v>
      </c>
      <c r="E123" s="4">
        <v>47</v>
      </c>
      <c r="F123" s="2">
        <v>1</v>
      </c>
      <c r="G123" s="2" t="s">
        <v>4</v>
      </c>
      <c r="H123" s="4">
        <v>1</v>
      </c>
      <c r="I123" s="2">
        <v>0</v>
      </c>
      <c r="J123" s="2" t="s">
        <v>8</v>
      </c>
      <c r="K123" s="2">
        <v>1</v>
      </c>
      <c r="L123" s="2" t="s">
        <v>13</v>
      </c>
      <c r="M123" s="4">
        <v>6</v>
      </c>
      <c r="N123" s="4">
        <v>7</v>
      </c>
      <c r="O123" s="2">
        <v>1</v>
      </c>
      <c r="P123" s="2" t="s">
        <v>14</v>
      </c>
      <c r="Q123" s="2">
        <v>1</v>
      </c>
      <c r="R123" s="2" t="s">
        <v>14</v>
      </c>
      <c r="S123" s="2">
        <v>1</v>
      </c>
      <c r="T123" s="2" t="s">
        <v>14</v>
      </c>
      <c r="U123" s="4">
        <v>5</v>
      </c>
    </row>
    <row r="124" spans="1:21" x14ac:dyDescent="0.25">
      <c r="A124" s="1">
        <v>123</v>
      </c>
      <c r="B124" s="2">
        <v>0</v>
      </c>
      <c r="C124" s="2" t="s">
        <v>1</v>
      </c>
      <c r="D124" s="4">
        <v>150</v>
      </c>
      <c r="E124" s="4">
        <v>50</v>
      </c>
      <c r="F124" s="2">
        <v>1</v>
      </c>
      <c r="G124" s="2" t="s">
        <v>4</v>
      </c>
      <c r="H124" s="4">
        <v>3</v>
      </c>
      <c r="I124" s="2">
        <v>2</v>
      </c>
      <c r="J124" s="2" t="s">
        <v>10</v>
      </c>
      <c r="K124" s="2">
        <v>1</v>
      </c>
      <c r="L124" s="2" t="s">
        <v>13</v>
      </c>
      <c r="M124" s="4">
        <v>7</v>
      </c>
      <c r="N124" s="4">
        <v>8</v>
      </c>
      <c r="O124" s="2">
        <v>1</v>
      </c>
      <c r="P124" s="2" t="s">
        <v>14</v>
      </c>
      <c r="Q124" s="2">
        <v>1</v>
      </c>
      <c r="R124" s="2" t="s">
        <v>14</v>
      </c>
      <c r="S124" s="2">
        <v>1</v>
      </c>
      <c r="T124" s="2" t="s">
        <v>14</v>
      </c>
      <c r="U124" s="4">
        <v>0</v>
      </c>
    </row>
    <row r="125" spans="1:21" x14ac:dyDescent="0.25">
      <c r="A125" s="1">
        <v>124</v>
      </c>
      <c r="B125" s="17"/>
      <c r="C125" s="17"/>
      <c r="D125" s="4">
        <v>175</v>
      </c>
      <c r="E125" s="4">
        <v>72</v>
      </c>
      <c r="F125" s="2">
        <v>3</v>
      </c>
      <c r="G125" s="2" t="s">
        <v>6</v>
      </c>
      <c r="H125" s="4">
        <v>2</v>
      </c>
      <c r="I125" s="2">
        <v>3</v>
      </c>
      <c r="J125" s="2" t="s">
        <v>11</v>
      </c>
      <c r="K125" s="2">
        <v>0</v>
      </c>
      <c r="L125" s="2" t="s">
        <v>12</v>
      </c>
      <c r="M125" s="4">
        <v>8</v>
      </c>
      <c r="N125" s="4">
        <v>9</v>
      </c>
      <c r="O125" s="2">
        <v>1</v>
      </c>
      <c r="P125" s="2" t="s">
        <v>14</v>
      </c>
      <c r="Q125" s="2">
        <v>1</v>
      </c>
      <c r="R125" s="2" t="s">
        <v>14</v>
      </c>
      <c r="S125" s="2">
        <v>1</v>
      </c>
      <c r="T125" s="2" t="s">
        <v>14</v>
      </c>
      <c r="U125" s="4">
        <v>5</v>
      </c>
    </row>
    <row r="126" spans="1:21" x14ac:dyDescent="0.25">
      <c r="A126" s="1">
        <v>125</v>
      </c>
      <c r="B126" s="2">
        <v>1</v>
      </c>
      <c r="C126" s="2" t="s">
        <v>2</v>
      </c>
      <c r="D126" s="4">
        <v>183</v>
      </c>
      <c r="E126" s="4">
        <v>65</v>
      </c>
      <c r="F126" s="2">
        <v>2</v>
      </c>
      <c r="G126" s="27" t="s">
        <v>5</v>
      </c>
      <c r="H126" s="4">
        <v>1</v>
      </c>
      <c r="I126" s="2">
        <v>3</v>
      </c>
      <c r="J126" s="2" t="s">
        <v>11</v>
      </c>
      <c r="K126" s="2">
        <v>0</v>
      </c>
      <c r="L126" s="2" t="s">
        <v>12</v>
      </c>
      <c r="M126" s="4">
        <v>6</v>
      </c>
      <c r="N126" s="4">
        <v>4</v>
      </c>
      <c r="O126" s="2">
        <v>1</v>
      </c>
      <c r="P126" s="2" t="s">
        <v>14</v>
      </c>
      <c r="Q126" s="2">
        <v>0</v>
      </c>
      <c r="R126" s="2" t="s">
        <v>15</v>
      </c>
      <c r="S126" s="2">
        <v>1</v>
      </c>
      <c r="T126" s="2" t="s">
        <v>14</v>
      </c>
      <c r="U126" s="4">
        <v>10</v>
      </c>
    </row>
    <row r="127" spans="1:21" x14ac:dyDescent="0.25">
      <c r="A127" s="1">
        <v>126</v>
      </c>
      <c r="B127" s="2">
        <v>1</v>
      </c>
      <c r="C127" s="2" t="s">
        <v>2</v>
      </c>
      <c r="D127" s="4">
        <v>167</v>
      </c>
      <c r="E127" s="4">
        <v>65</v>
      </c>
      <c r="F127" s="2">
        <v>2</v>
      </c>
      <c r="G127" s="2" t="s">
        <v>5</v>
      </c>
      <c r="H127" s="4">
        <v>2</v>
      </c>
      <c r="I127" s="2">
        <v>2</v>
      </c>
      <c r="J127" s="2" t="s">
        <v>10</v>
      </c>
      <c r="K127" s="2">
        <v>0</v>
      </c>
      <c r="L127" s="2" t="s">
        <v>12</v>
      </c>
      <c r="M127" s="4">
        <v>6</v>
      </c>
      <c r="N127" s="4">
        <v>7</v>
      </c>
      <c r="O127" s="2">
        <v>1</v>
      </c>
      <c r="P127" s="2" t="s">
        <v>14</v>
      </c>
      <c r="Q127" s="2">
        <v>1</v>
      </c>
      <c r="R127" s="2" t="s">
        <v>14</v>
      </c>
      <c r="S127" s="2">
        <v>1</v>
      </c>
      <c r="T127" s="2" t="s">
        <v>14</v>
      </c>
      <c r="U127" s="4">
        <v>10</v>
      </c>
    </row>
    <row r="128" spans="1:21" x14ac:dyDescent="0.25">
      <c r="A128" s="1">
        <v>127</v>
      </c>
      <c r="B128" s="2">
        <v>0</v>
      </c>
      <c r="C128" s="2" t="s">
        <v>1</v>
      </c>
      <c r="D128" s="4">
        <v>170</v>
      </c>
      <c r="E128" s="4">
        <v>58</v>
      </c>
      <c r="F128" s="2">
        <v>0</v>
      </c>
      <c r="G128" s="2" t="s">
        <v>3</v>
      </c>
      <c r="H128" s="4">
        <v>2</v>
      </c>
      <c r="I128" s="2">
        <v>3</v>
      </c>
      <c r="J128" s="2" t="s">
        <v>11</v>
      </c>
      <c r="K128" s="2">
        <v>0</v>
      </c>
      <c r="L128" s="2" t="s">
        <v>12</v>
      </c>
      <c r="M128" s="4">
        <v>6.12</v>
      </c>
      <c r="N128" s="4">
        <v>9.3000000000000007</v>
      </c>
      <c r="O128" s="2">
        <v>1</v>
      </c>
      <c r="P128" s="2" t="s">
        <v>14</v>
      </c>
      <c r="Q128" s="2">
        <v>1</v>
      </c>
      <c r="R128" s="2" t="s">
        <v>14</v>
      </c>
      <c r="S128" s="2">
        <v>1</v>
      </c>
      <c r="T128" s="2" t="s">
        <v>14</v>
      </c>
      <c r="U128" s="4">
        <v>14</v>
      </c>
    </row>
    <row r="129" spans="1:21" x14ac:dyDescent="0.25">
      <c r="A129" s="1">
        <v>128</v>
      </c>
      <c r="B129" s="2">
        <v>1</v>
      </c>
      <c r="C129" s="2" t="s">
        <v>2</v>
      </c>
      <c r="D129" s="4">
        <v>181</v>
      </c>
      <c r="E129" s="4">
        <v>78</v>
      </c>
      <c r="F129" s="2">
        <v>3</v>
      </c>
      <c r="G129" s="2" t="s">
        <v>6</v>
      </c>
      <c r="H129" s="4">
        <v>2</v>
      </c>
      <c r="I129" s="2">
        <v>2</v>
      </c>
      <c r="J129" s="2" t="s">
        <v>10</v>
      </c>
      <c r="K129" s="2">
        <v>0</v>
      </c>
      <c r="L129" s="2" t="s">
        <v>12</v>
      </c>
      <c r="M129" s="4">
        <v>7</v>
      </c>
      <c r="N129" s="4">
        <v>5</v>
      </c>
      <c r="O129" s="2">
        <v>1</v>
      </c>
      <c r="P129" s="2" t="s">
        <v>14</v>
      </c>
      <c r="Q129" s="2">
        <v>0</v>
      </c>
      <c r="R129" s="2" t="s">
        <v>15</v>
      </c>
      <c r="S129" s="2">
        <v>1</v>
      </c>
      <c r="T129" s="2" t="s">
        <v>14</v>
      </c>
      <c r="U129" s="4">
        <v>4</v>
      </c>
    </row>
    <row r="130" spans="1:21" x14ac:dyDescent="0.25">
      <c r="A130" s="1">
        <v>129</v>
      </c>
      <c r="B130" s="2">
        <v>0</v>
      </c>
      <c r="C130" s="2" t="s">
        <v>1</v>
      </c>
      <c r="D130" s="4">
        <v>169</v>
      </c>
      <c r="E130" s="4">
        <v>57</v>
      </c>
      <c r="F130" s="2">
        <v>0</v>
      </c>
      <c r="G130" s="2" t="s">
        <v>3</v>
      </c>
      <c r="H130" s="4">
        <v>1</v>
      </c>
      <c r="I130" s="2">
        <v>3</v>
      </c>
      <c r="J130" s="2" t="s">
        <v>11</v>
      </c>
      <c r="K130" s="2">
        <v>0</v>
      </c>
      <c r="L130" s="2" t="s">
        <v>12</v>
      </c>
      <c r="M130" s="4">
        <v>5.7</v>
      </c>
      <c r="N130" s="4">
        <v>7.5</v>
      </c>
      <c r="O130" s="2">
        <v>1</v>
      </c>
      <c r="P130" s="2" t="s">
        <v>14</v>
      </c>
      <c r="Q130" s="2">
        <v>1</v>
      </c>
      <c r="R130" s="2" t="s">
        <v>14</v>
      </c>
      <c r="S130" s="2">
        <v>1</v>
      </c>
      <c r="T130" s="2" t="s">
        <v>14</v>
      </c>
      <c r="U130" s="4">
        <v>70</v>
      </c>
    </row>
    <row r="131" spans="1:21" x14ac:dyDescent="0.25">
      <c r="A131" s="1">
        <v>130</v>
      </c>
      <c r="B131" s="2">
        <v>0</v>
      </c>
      <c r="C131" s="2" t="s">
        <v>1</v>
      </c>
      <c r="D131" s="4">
        <v>172</v>
      </c>
      <c r="E131" s="4">
        <v>52</v>
      </c>
      <c r="F131" s="2">
        <v>0</v>
      </c>
      <c r="G131" s="2" t="s">
        <v>3</v>
      </c>
      <c r="H131" s="4">
        <v>6</v>
      </c>
      <c r="I131" s="2">
        <v>3</v>
      </c>
      <c r="J131" s="2" t="s">
        <v>11</v>
      </c>
      <c r="K131" s="2">
        <v>0</v>
      </c>
      <c r="L131" s="2" t="s">
        <v>12</v>
      </c>
      <c r="M131" s="4">
        <v>6</v>
      </c>
      <c r="N131" s="4">
        <v>5.2</v>
      </c>
      <c r="O131" s="2">
        <v>1</v>
      </c>
      <c r="P131" s="2" t="s">
        <v>14</v>
      </c>
      <c r="Q131" s="2">
        <v>1</v>
      </c>
      <c r="R131" s="2" t="s">
        <v>14</v>
      </c>
      <c r="S131" s="2">
        <v>1</v>
      </c>
      <c r="T131" s="2" t="s">
        <v>14</v>
      </c>
      <c r="U131" s="4">
        <v>70</v>
      </c>
    </row>
    <row r="132" spans="1:21" x14ac:dyDescent="0.25">
      <c r="A132" s="1">
        <v>131</v>
      </c>
      <c r="B132" s="2">
        <v>0</v>
      </c>
      <c r="C132" s="2" t="s">
        <v>1</v>
      </c>
      <c r="D132" s="4">
        <v>160</v>
      </c>
      <c r="E132" s="4">
        <v>48</v>
      </c>
      <c r="F132" s="2">
        <v>2</v>
      </c>
      <c r="G132" s="2" t="s">
        <v>5</v>
      </c>
      <c r="H132" s="4">
        <v>3</v>
      </c>
      <c r="I132" s="2">
        <v>0</v>
      </c>
      <c r="J132" s="2" t="s">
        <v>8</v>
      </c>
      <c r="K132" s="2">
        <v>1</v>
      </c>
      <c r="L132" s="2" t="s">
        <v>13</v>
      </c>
      <c r="M132" s="4">
        <v>7.5</v>
      </c>
      <c r="N132" s="4">
        <v>8.1999999999999993</v>
      </c>
      <c r="O132" s="2">
        <v>1</v>
      </c>
      <c r="P132" s="2" t="s">
        <v>14</v>
      </c>
      <c r="Q132" s="17"/>
      <c r="R132" s="17"/>
      <c r="S132" s="2">
        <v>1</v>
      </c>
      <c r="T132" s="2" t="s">
        <v>14</v>
      </c>
      <c r="U132" s="4">
        <v>10</v>
      </c>
    </row>
    <row r="133" spans="1:21" x14ac:dyDescent="0.25">
      <c r="A133" s="1">
        <v>132</v>
      </c>
      <c r="B133" s="2">
        <v>0</v>
      </c>
      <c r="C133" s="2" t="s">
        <v>1</v>
      </c>
      <c r="D133" s="4">
        <v>173</v>
      </c>
      <c r="E133" s="4">
        <v>62</v>
      </c>
      <c r="F133" s="2">
        <v>0</v>
      </c>
      <c r="G133" s="2" t="s">
        <v>3</v>
      </c>
      <c r="H133" s="4">
        <v>2</v>
      </c>
      <c r="I133" s="2">
        <v>0</v>
      </c>
      <c r="J133" s="2" t="s">
        <v>8</v>
      </c>
      <c r="K133" s="2">
        <v>1</v>
      </c>
      <c r="L133" s="2" t="s">
        <v>13</v>
      </c>
      <c r="M133" s="4">
        <v>7.6</v>
      </c>
      <c r="N133" s="4">
        <v>10.47</v>
      </c>
      <c r="O133" s="2">
        <v>1</v>
      </c>
      <c r="P133" s="2" t="s">
        <v>14</v>
      </c>
      <c r="Q133" s="2">
        <v>1</v>
      </c>
      <c r="R133" s="2" t="s">
        <v>14</v>
      </c>
      <c r="S133" s="2">
        <v>1</v>
      </c>
      <c r="T133" s="2" t="s">
        <v>14</v>
      </c>
      <c r="U133" s="4">
        <v>68</v>
      </c>
    </row>
    <row r="134" spans="1:21" x14ac:dyDescent="0.25">
      <c r="A134" s="1">
        <v>133</v>
      </c>
      <c r="B134" s="2">
        <v>1</v>
      </c>
      <c r="C134" s="2" t="s">
        <v>2</v>
      </c>
      <c r="D134" s="4">
        <v>182</v>
      </c>
      <c r="E134" s="4">
        <v>64</v>
      </c>
      <c r="F134" s="2">
        <v>2</v>
      </c>
      <c r="G134" s="2" t="s">
        <v>5</v>
      </c>
      <c r="H134" s="4">
        <v>1</v>
      </c>
      <c r="I134" s="2">
        <v>0</v>
      </c>
      <c r="J134" s="2" t="s">
        <v>8</v>
      </c>
      <c r="K134" s="2">
        <v>0</v>
      </c>
      <c r="L134" s="2" t="s">
        <v>12</v>
      </c>
      <c r="M134" s="4">
        <v>6.5</v>
      </c>
      <c r="N134" s="4">
        <v>8.01</v>
      </c>
      <c r="O134" s="2">
        <v>1</v>
      </c>
      <c r="P134" s="2" t="s">
        <v>14</v>
      </c>
      <c r="Q134" s="2">
        <v>1</v>
      </c>
      <c r="R134" s="2" t="s">
        <v>14</v>
      </c>
      <c r="S134" s="2">
        <v>0</v>
      </c>
      <c r="T134" s="2" t="s">
        <v>15</v>
      </c>
      <c r="U134" s="4">
        <v>0</v>
      </c>
    </row>
    <row r="135" spans="1:21" x14ac:dyDescent="0.25">
      <c r="A135" s="1">
        <v>134</v>
      </c>
      <c r="B135" s="2">
        <v>0</v>
      </c>
      <c r="C135" s="2" t="s">
        <v>1</v>
      </c>
      <c r="D135" s="4">
        <v>168</v>
      </c>
      <c r="E135" s="4">
        <v>58</v>
      </c>
      <c r="F135" s="2">
        <v>1</v>
      </c>
      <c r="G135" s="2" t="s">
        <v>4</v>
      </c>
      <c r="H135" s="4">
        <v>3</v>
      </c>
      <c r="I135" s="2">
        <v>1</v>
      </c>
      <c r="J135" s="2" t="s">
        <v>9</v>
      </c>
      <c r="K135" s="2">
        <v>0</v>
      </c>
      <c r="L135" s="2" t="s">
        <v>12</v>
      </c>
      <c r="M135" s="4">
        <v>5.3</v>
      </c>
      <c r="N135" s="4">
        <v>6.2</v>
      </c>
      <c r="O135" s="2">
        <v>1</v>
      </c>
      <c r="P135" s="2" t="s">
        <v>14</v>
      </c>
      <c r="Q135" s="2">
        <v>1</v>
      </c>
      <c r="R135" s="2" t="s">
        <v>14</v>
      </c>
      <c r="S135" s="2">
        <v>1</v>
      </c>
      <c r="T135" s="2" t="s">
        <v>14</v>
      </c>
      <c r="U135" s="4">
        <v>5</v>
      </c>
    </row>
    <row r="136" spans="1:21" x14ac:dyDescent="0.25">
      <c r="A136" s="1">
        <v>135</v>
      </c>
      <c r="B136" s="2">
        <v>0</v>
      </c>
      <c r="C136" s="2" t="s">
        <v>1</v>
      </c>
      <c r="D136" s="4">
        <v>163</v>
      </c>
      <c r="E136" s="4">
        <v>62</v>
      </c>
      <c r="F136" s="2">
        <v>1</v>
      </c>
      <c r="G136" s="2" t="s">
        <v>4</v>
      </c>
      <c r="H136" s="4">
        <v>2</v>
      </c>
      <c r="I136" s="2">
        <v>1</v>
      </c>
      <c r="J136" s="2" t="s">
        <v>9</v>
      </c>
      <c r="K136" s="2">
        <v>0</v>
      </c>
      <c r="L136" s="2" t="s">
        <v>12</v>
      </c>
      <c r="M136" s="4">
        <v>8</v>
      </c>
      <c r="N136" s="4">
        <v>10.5</v>
      </c>
      <c r="O136" s="2">
        <v>1</v>
      </c>
      <c r="P136" s="2" t="s">
        <v>14</v>
      </c>
      <c r="Q136" s="2">
        <v>1</v>
      </c>
      <c r="R136" s="2" t="s">
        <v>14</v>
      </c>
      <c r="S136" s="2">
        <v>1</v>
      </c>
      <c r="T136" s="2" t="s">
        <v>14</v>
      </c>
      <c r="U136" s="4">
        <v>65</v>
      </c>
    </row>
    <row r="137" spans="1:21" x14ac:dyDescent="0.25">
      <c r="A137" s="1">
        <v>136</v>
      </c>
      <c r="B137" s="2">
        <v>0</v>
      </c>
      <c r="C137" s="2" t="s">
        <v>1</v>
      </c>
      <c r="D137" s="16">
        <v>160</v>
      </c>
      <c r="E137" s="4">
        <v>53</v>
      </c>
      <c r="F137" s="2">
        <v>1</v>
      </c>
      <c r="G137" s="2" t="s">
        <v>4</v>
      </c>
      <c r="H137" s="4">
        <v>2</v>
      </c>
      <c r="I137" s="2">
        <v>1</v>
      </c>
      <c r="J137" s="2" t="s">
        <v>9</v>
      </c>
      <c r="K137" s="2">
        <v>1</v>
      </c>
      <c r="L137" s="2" t="s">
        <v>13</v>
      </c>
      <c r="M137" s="4">
        <v>5.3</v>
      </c>
      <c r="N137" s="4">
        <v>5.7</v>
      </c>
      <c r="O137" s="2">
        <v>1</v>
      </c>
      <c r="P137" s="2" t="s">
        <v>14</v>
      </c>
      <c r="Q137" s="2">
        <v>1</v>
      </c>
      <c r="R137" s="2" t="s">
        <v>14</v>
      </c>
      <c r="S137" s="2">
        <v>1</v>
      </c>
      <c r="T137" s="2" t="s">
        <v>14</v>
      </c>
      <c r="U137" s="4">
        <v>50</v>
      </c>
    </row>
    <row r="138" spans="1:21" x14ac:dyDescent="0.25">
      <c r="A138" s="1">
        <v>137</v>
      </c>
      <c r="B138" s="2">
        <v>1</v>
      </c>
      <c r="C138" s="2" t="s">
        <v>2</v>
      </c>
      <c r="D138" s="4">
        <v>180</v>
      </c>
      <c r="E138" s="4">
        <v>75</v>
      </c>
      <c r="F138" s="2">
        <v>3</v>
      </c>
      <c r="G138" s="27" t="s">
        <v>6</v>
      </c>
      <c r="H138" s="4"/>
      <c r="I138" s="2">
        <v>0</v>
      </c>
      <c r="J138" s="2" t="s">
        <v>8</v>
      </c>
      <c r="K138" s="2">
        <v>0</v>
      </c>
      <c r="L138" s="2" t="s">
        <v>12</v>
      </c>
      <c r="M138" s="4">
        <v>7</v>
      </c>
      <c r="N138" s="4">
        <v>7.9</v>
      </c>
      <c r="O138" s="2">
        <v>1</v>
      </c>
      <c r="P138" s="2" t="s">
        <v>14</v>
      </c>
      <c r="Q138" s="2">
        <v>1</v>
      </c>
      <c r="R138" s="2" t="s">
        <v>14</v>
      </c>
      <c r="S138" s="2">
        <v>1</v>
      </c>
      <c r="T138" s="2" t="s">
        <v>14</v>
      </c>
      <c r="U138" s="4">
        <v>12</v>
      </c>
    </row>
    <row r="139" spans="1:21" x14ac:dyDescent="0.25">
      <c r="A139" s="1">
        <v>138</v>
      </c>
      <c r="B139" s="2">
        <v>1</v>
      </c>
      <c r="C139" s="2" t="s">
        <v>2</v>
      </c>
      <c r="D139" s="4">
        <v>177</v>
      </c>
      <c r="E139" s="4">
        <v>80</v>
      </c>
      <c r="F139" s="2">
        <v>2</v>
      </c>
      <c r="G139" s="2" t="s">
        <v>5</v>
      </c>
      <c r="H139" s="4"/>
      <c r="I139" s="2">
        <v>0</v>
      </c>
      <c r="J139" s="2" t="s">
        <v>8</v>
      </c>
      <c r="K139" s="2">
        <v>0</v>
      </c>
      <c r="L139" s="2" t="s">
        <v>12</v>
      </c>
      <c r="M139" s="4">
        <v>6.3</v>
      </c>
      <c r="N139" s="4">
        <v>5.85</v>
      </c>
      <c r="O139" s="2">
        <v>1</v>
      </c>
      <c r="P139" s="2" t="s">
        <v>14</v>
      </c>
      <c r="Q139" s="2">
        <v>1</v>
      </c>
      <c r="R139" s="2" t="s">
        <v>14</v>
      </c>
      <c r="S139" s="2">
        <v>1</v>
      </c>
      <c r="T139" s="2" t="s">
        <v>14</v>
      </c>
      <c r="U139" s="4">
        <v>13</v>
      </c>
    </row>
    <row r="140" spans="1:21" x14ac:dyDescent="0.25">
      <c r="A140" s="1">
        <v>139</v>
      </c>
      <c r="B140" s="2">
        <v>1</v>
      </c>
      <c r="C140" s="2" t="s">
        <v>2</v>
      </c>
      <c r="D140" s="4">
        <v>174</v>
      </c>
      <c r="E140" s="4">
        <v>80</v>
      </c>
      <c r="F140" s="2">
        <v>2</v>
      </c>
      <c r="G140" s="2" t="s">
        <v>5</v>
      </c>
      <c r="H140" s="4">
        <v>3</v>
      </c>
      <c r="I140" s="2">
        <v>0</v>
      </c>
      <c r="J140" s="2" t="s">
        <v>8</v>
      </c>
      <c r="K140" s="2">
        <v>0</v>
      </c>
      <c r="L140" s="2" t="s">
        <v>12</v>
      </c>
      <c r="M140" s="4">
        <v>6</v>
      </c>
      <c r="N140" s="4">
        <v>6</v>
      </c>
      <c r="O140" s="2">
        <v>1</v>
      </c>
      <c r="P140" s="2" t="s">
        <v>14</v>
      </c>
      <c r="Q140" s="2">
        <v>1</v>
      </c>
      <c r="R140" s="2" t="s">
        <v>14</v>
      </c>
      <c r="S140" s="2">
        <v>1</v>
      </c>
      <c r="T140" s="2" t="s">
        <v>14</v>
      </c>
      <c r="U140" s="4">
        <v>2</v>
      </c>
    </row>
    <row r="141" spans="1:21" x14ac:dyDescent="0.25">
      <c r="A141" s="1">
        <v>140</v>
      </c>
      <c r="B141" s="2">
        <v>0</v>
      </c>
      <c r="C141" s="2" t="s">
        <v>1</v>
      </c>
      <c r="D141" s="4">
        <v>160</v>
      </c>
      <c r="E141" s="4">
        <v>50</v>
      </c>
      <c r="F141" s="2">
        <v>1</v>
      </c>
      <c r="G141" s="2" t="s">
        <v>4</v>
      </c>
      <c r="H141" s="4">
        <v>2</v>
      </c>
      <c r="I141" s="2">
        <v>3</v>
      </c>
      <c r="J141" s="2" t="s">
        <v>11</v>
      </c>
      <c r="K141" s="2">
        <v>0</v>
      </c>
      <c r="L141" s="2" t="s">
        <v>12</v>
      </c>
      <c r="M141" s="4">
        <v>5.41</v>
      </c>
      <c r="N141" s="4">
        <v>5.2</v>
      </c>
      <c r="O141" s="2">
        <v>1</v>
      </c>
      <c r="P141" s="2" t="s">
        <v>14</v>
      </c>
      <c r="Q141" s="2">
        <v>1</v>
      </c>
      <c r="R141" s="2" t="s">
        <v>14</v>
      </c>
      <c r="S141" s="2">
        <v>1</v>
      </c>
      <c r="T141" s="2" t="s">
        <v>14</v>
      </c>
      <c r="U141" s="4">
        <v>6</v>
      </c>
    </row>
    <row r="142" spans="1:21" x14ac:dyDescent="0.25">
      <c r="A142" s="1">
        <v>141</v>
      </c>
      <c r="B142" s="2">
        <v>0</v>
      </c>
      <c r="C142" s="2" t="s">
        <v>1</v>
      </c>
      <c r="D142" s="4">
        <v>160</v>
      </c>
      <c r="E142" s="4">
        <v>52</v>
      </c>
      <c r="F142" s="2">
        <v>1</v>
      </c>
      <c r="G142" s="2" t="s">
        <v>4</v>
      </c>
      <c r="H142" s="4">
        <v>1</v>
      </c>
      <c r="I142" s="2">
        <v>0</v>
      </c>
      <c r="J142" s="2" t="s">
        <v>8</v>
      </c>
      <c r="K142" s="2">
        <v>0</v>
      </c>
      <c r="L142" s="2" t="s">
        <v>12</v>
      </c>
      <c r="M142" s="4">
        <v>5.6</v>
      </c>
      <c r="N142" s="4">
        <v>6</v>
      </c>
      <c r="O142" s="2">
        <v>1</v>
      </c>
      <c r="P142" s="2" t="s">
        <v>14</v>
      </c>
      <c r="Q142" s="2">
        <v>1</v>
      </c>
      <c r="R142" s="2" t="s">
        <v>14</v>
      </c>
      <c r="S142" s="2">
        <v>1</v>
      </c>
      <c r="T142" s="2" t="s">
        <v>14</v>
      </c>
      <c r="U142" s="4">
        <v>6</v>
      </c>
    </row>
    <row r="143" spans="1:21" x14ac:dyDescent="0.25">
      <c r="A143" s="1">
        <v>142</v>
      </c>
      <c r="B143" s="2">
        <v>1</v>
      </c>
      <c r="C143" s="2" t="s">
        <v>2</v>
      </c>
      <c r="D143" s="4">
        <v>190</v>
      </c>
      <c r="E143" s="4">
        <v>85</v>
      </c>
      <c r="F143" s="2">
        <v>1</v>
      </c>
      <c r="G143" s="2" t="s">
        <v>4</v>
      </c>
      <c r="H143" s="4">
        <v>2</v>
      </c>
      <c r="I143" s="2">
        <v>3</v>
      </c>
      <c r="J143" s="2" t="s">
        <v>11</v>
      </c>
      <c r="K143" s="2">
        <v>0</v>
      </c>
      <c r="L143" s="2" t="s">
        <v>12</v>
      </c>
      <c r="M143" s="4">
        <v>6</v>
      </c>
      <c r="N143" s="4">
        <v>8</v>
      </c>
      <c r="O143" s="2">
        <v>1</v>
      </c>
      <c r="P143" s="2" t="s">
        <v>14</v>
      </c>
      <c r="Q143" s="2">
        <v>1</v>
      </c>
      <c r="R143" s="2" t="s">
        <v>14</v>
      </c>
      <c r="S143" s="2">
        <v>1</v>
      </c>
      <c r="T143" s="2" t="s">
        <v>14</v>
      </c>
      <c r="U143" s="4">
        <v>2</v>
      </c>
    </row>
    <row r="144" spans="1:21" x14ac:dyDescent="0.25">
      <c r="A144" s="8" t="s">
        <v>32</v>
      </c>
      <c r="B144" s="9">
        <v>0</v>
      </c>
      <c r="C144" s="9">
        <v>0</v>
      </c>
      <c r="D144" s="10">
        <v>3</v>
      </c>
      <c r="E144" s="11">
        <v>5</v>
      </c>
      <c r="F144" s="11"/>
      <c r="G144" s="11">
        <v>0</v>
      </c>
      <c r="H144" s="11">
        <f>'Datos '!F144</f>
        <v>15</v>
      </c>
      <c r="I144" s="11"/>
      <c r="J144" s="11">
        <v>0</v>
      </c>
      <c r="K144" s="11"/>
      <c r="L144" s="11">
        <v>0</v>
      </c>
      <c r="M144" s="11">
        <v>6</v>
      </c>
      <c r="N144" s="11">
        <v>11</v>
      </c>
      <c r="O144" s="11"/>
      <c r="P144" s="11">
        <v>0</v>
      </c>
      <c r="Q144" s="11"/>
      <c r="R144" s="11">
        <v>0</v>
      </c>
      <c r="S144" s="11"/>
      <c r="T144" s="11">
        <v>0</v>
      </c>
      <c r="U144" s="11">
        <v>6</v>
      </c>
    </row>
    <row r="145" spans="1:21" x14ac:dyDescent="0.25">
      <c r="A145" s="15" t="s">
        <v>30</v>
      </c>
      <c r="B145" s="6">
        <v>3</v>
      </c>
      <c r="C145" s="6">
        <v>3</v>
      </c>
      <c r="D145" s="6">
        <v>0</v>
      </c>
      <c r="E145" s="6">
        <v>0</v>
      </c>
      <c r="F145" s="6"/>
      <c r="G145" s="6">
        <v>2</v>
      </c>
      <c r="H145" s="6">
        <v>0</v>
      </c>
      <c r="I145" s="6"/>
      <c r="J145" s="6">
        <v>3</v>
      </c>
      <c r="K145" s="6"/>
      <c r="L145" s="6">
        <v>3</v>
      </c>
      <c r="M145" s="6">
        <v>0</v>
      </c>
      <c r="N145" s="6">
        <v>0</v>
      </c>
      <c r="O145" s="6"/>
      <c r="P145" s="6">
        <v>4</v>
      </c>
      <c r="Q145" s="6"/>
      <c r="R145" s="6">
        <v>4</v>
      </c>
      <c r="S145" s="6"/>
      <c r="T145" s="6">
        <v>3</v>
      </c>
      <c r="U145" s="6">
        <v>0</v>
      </c>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H24"/>
  <sheetViews>
    <sheetView workbookViewId="0">
      <selection activeCell="F14" sqref="F14"/>
    </sheetView>
  </sheetViews>
  <sheetFormatPr baseColWidth="10" defaultRowHeight="15" x14ac:dyDescent="0.25"/>
  <cols>
    <col min="2" max="2" width="51.28515625" customWidth="1"/>
    <col min="3" max="3" width="12.85546875" customWidth="1"/>
    <col min="4" max="4" width="12.28515625" bestFit="1" customWidth="1"/>
    <col min="8" max="8" width="16.5703125" customWidth="1"/>
  </cols>
  <sheetData>
    <row r="4" spans="2:5" ht="21.75" x14ac:dyDescent="0.4">
      <c r="B4" s="21" t="s">
        <v>50</v>
      </c>
      <c r="C4" s="22" t="s">
        <v>63</v>
      </c>
      <c r="D4" s="22" t="s">
        <v>51</v>
      </c>
      <c r="E4" s="22" t="s">
        <v>52</v>
      </c>
    </row>
    <row r="5" spans="2:5" ht="18" x14ac:dyDescent="0.35">
      <c r="B5" s="23" t="s">
        <v>8</v>
      </c>
      <c r="C5" s="33">
        <v>0</v>
      </c>
      <c r="D5" s="24">
        <f>COUNTIF(Residencia,C5)</f>
        <v>79</v>
      </c>
      <c r="E5" s="25">
        <f>D5/$D$9</f>
        <v>0.56834532374100721</v>
      </c>
    </row>
    <row r="6" spans="2:5" ht="18" x14ac:dyDescent="0.35">
      <c r="B6" s="23" t="s">
        <v>9</v>
      </c>
      <c r="C6" s="33">
        <v>1</v>
      </c>
      <c r="D6" s="24">
        <f>COUNTIF(Residencia,C6)</f>
        <v>15</v>
      </c>
      <c r="E6" s="25">
        <f t="shared" ref="E6:E8" si="0">D6/$D$9</f>
        <v>0.1079136690647482</v>
      </c>
    </row>
    <row r="7" spans="2:5" ht="18" x14ac:dyDescent="0.35">
      <c r="B7" s="23" t="s">
        <v>10</v>
      </c>
      <c r="C7" s="33">
        <v>2</v>
      </c>
      <c r="D7" s="24">
        <f>COUNTIF(Residencia,C7)</f>
        <v>24</v>
      </c>
      <c r="E7" s="25">
        <f t="shared" si="0"/>
        <v>0.17266187050359713</v>
      </c>
    </row>
    <row r="8" spans="2:5" ht="18" x14ac:dyDescent="0.35">
      <c r="B8" s="23" t="s">
        <v>11</v>
      </c>
      <c r="C8" s="33">
        <v>3</v>
      </c>
      <c r="D8" s="24">
        <f>COUNTIF(Residencia,C8)</f>
        <v>21</v>
      </c>
      <c r="E8" s="25">
        <f t="shared" si="0"/>
        <v>0.15107913669064749</v>
      </c>
    </row>
    <row r="9" spans="2:5" ht="18" x14ac:dyDescent="0.35">
      <c r="B9" s="26" t="s">
        <v>53</v>
      </c>
      <c r="C9" s="26"/>
      <c r="D9" s="26">
        <f>SUM(D5:D8)</f>
        <v>139</v>
      </c>
      <c r="E9" s="30">
        <f>SUM(E5:E8)</f>
        <v>1</v>
      </c>
    </row>
    <row r="11" spans="2:5" ht="18" x14ac:dyDescent="0.35">
      <c r="B11" s="28" t="s">
        <v>54</v>
      </c>
      <c r="C11" s="28"/>
      <c r="D11" s="29">
        <f>COUNTBLANK(Residencia)</f>
        <v>3</v>
      </c>
    </row>
    <row r="23" spans="8:8" x14ac:dyDescent="0.25">
      <c r="H23" s="31"/>
    </row>
    <row r="24" spans="8:8" x14ac:dyDescent="0.25">
      <c r="H24" s="3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9"/>
  <sheetViews>
    <sheetView workbookViewId="0">
      <selection activeCell="L9" sqref="L9"/>
    </sheetView>
  </sheetViews>
  <sheetFormatPr baseColWidth="10" defaultRowHeight="15" x14ac:dyDescent="0.25"/>
  <cols>
    <col min="2" max="2" width="12.7109375" customWidth="1"/>
    <col min="3" max="3" width="12.28515625" customWidth="1"/>
    <col min="4" max="4" width="13.42578125" customWidth="1"/>
    <col min="5" max="5" width="12.140625" customWidth="1"/>
    <col min="6" max="6" width="14.28515625" customWidth="1"/>
    <col min="7" max="7" width="13" customWidth="1"/>
    <col min="8" max="8" width="12.85546875" customWidth="1"/>
    <col min="9" max="9" width="12.5703125" customWidth="1"/>
    <col min="10" max="10" width="11.42578125" customWidth="1"/>
    <col min="11" max="11" width="12.85546875" customWidth="1"/>
    <col min="12" max="12" width="12.140625" customWidth="1"/>
  </cols>
  <sheetData>
    <row r="2" spans="2:12" ht="15.75" x14ac:dyDescent="0.25">
      <c r="B2" s="37" t="s">
        <v>70</v>
      </c>
      <c r="C2" s="67">
        <f>MIN(Hermanos)</f>
        <v>1</v>
      </c>
    </row>
    <row r="3" spans="2:12" ht="15.75" x14ac:dyDescent="0.25">
      <c r="B3" s="37" t="s">
        <v>69</v>
      </c>
      <c r="C3" s="67">
        <f>MAX(Hermanos)</f>
        <v>6</v>
      </c>
    </row>
    <row r="4" spans="2:12" x14ac:dyDescent="0.25">
      <c r="L4" s="51"/>
    </row>
    <row r="5" spans="2:12" ht="19.5" x14ac:dyDescent="0.4">
      <c r="B5" s="35" t="s">
        <v>64</v>
      </c>
      <c r="C5" s="35" t="s">
        <v>65</v>
      </c>
      <c r="D5" s="35" t="s">
        <v>66</v>
      </c>
      <c r="E5" s="35" t="s">
        <v>67</v>
      </c>
      <c r="F5" s="35" t="s">
        <v>68</v>
      </c>
    </row>
    <row r="6" spans="2:12" ht="15.75" x14ac:dyDescent="0.25">
      <c r="B6" s="53">
        <v>1</v>
      </c>
      <c r="C6" s="53">
        <f t="shared" ref="C6:C11" si="0">COUNTIF(Hermanos,B6)</f>
        <v>20</v>
      </c>
      <c r="D6" s="56">
        <f>C6/$C$12</f>
        <v>0.15748031496062992</v>
      </c>
      <c r="E6" s="53">
        <f>C6</f>
        <v>20</v>
      </c>
      <c r="F6" s="56">
        <f>E6/$C$12</f>
        <v>0.15748031496062992</v>
      </c>
      <c r="G6" s="53"/>
      <c r="H6" s="53"/>
      <c r="L6" s="38"/>
    </row>
    <row r="7" spans="2:12" ht="15.75" x14ac:dyDescent="0.25">
      <c r="B7" s="53">
        <v>2</v>
      </c>
      <c r="C7" s="53">
        <f t="shared" si="0"/>
        <v>71</v>
      </c>
      <c r="D7" s="56">
        <f t="shared" ref="D7:D11" si="1">C7/$C$12</f>
        <v>0.55905511811023623</v>
      </c>
      <c r="E7" s="53">
        <f>E6+C7</f>
        <v>91</v>
      </c>
      <c r="F7" s="56">
        <f t="shared" ref="F7:F11" si="2">E7/$C$12</f>
        <v>0.71653543307086609</v>
      </c>
      <c r="G7" s="53"/>
      <c r="H7" s="53"/>
    </row>
    <row r="8" spans="2:12" ht="15.75" x14ac:dyDescent="0.25">
      <c r="B8" s="53">
        <v>3</v>
      </c>
      <c r="C8" s="53">
        <f t="shared" si="0"/>
        <v>30</v>
      </c>
      <c r="D8" s="56">
        <f t="shared" si="1"/>
        <v>0.23622047244094488</v>
      </c>
      <c r="E8" s="53">
        <f t="shared" ref="E8:E11" si="3">E7+C8</f>
        <v>121</v>
      </c>
      <c r="F8" s="56">
        <f t="shared" si="2"/>
        <v>0.952755905511811</v>
      </c>
      <c r="G8" s="53"/>
      <c r="H8" s="53"/>
    </row>
    <row r="9" spans="2:12" ht="15.75" x14ac:dyDescent="0.25">
      <c r="B9" s="53">
        <v>4</v>
      </c>
      <c r="C9" s="53">
        <f t="shared" si="0"/>
        <v>2</v>
      </c>
      <c r="D9" s="56">
        <f t="shared" si="1"/>
        <v>1.5748031496062992E-2</v>
      </c>
      <c r="E9" s="53">
        <f t="shared" si="3"/>
        <v>123</v>
      </c>
      <c r="F9" s="56">
        <f t="shared" si="2"/>
        <v>0.96850393700787396</v>
      </c>
      <c r="G9" s="53"/>
      <c r="H9" s="53"/>
    </row>
    <row r="10" spans="2:12" ht="15.75" x14ac:dyDescent="0.25">
      <c r="B10" s="53">
        <v>5</v>
      </c>
      <c r="C10" s="53">
        <f t="shared" si="0"/>
        <v>2</v>
      </c>
      <c r="D10" s="56">
        <f t="shared" si="1"/>
        <v>1.5748031496062992E-2</v>
      </c>
      <c r="E10" s="53">
        <f t="shared" si="3"/>
        <v>125</v>
      </c>
      <c r="F10" s="56">
        <f t="shared" si="2"/>
        <v>0.98425196850393704</v>
      </c>
      <c r="G10" s="53"/>
      <c r="H10" s="53"/>
    </row>
    <row r="11" spans="2:12" ht="15.75" x14ac:dyDescent="0.25">
      <c r="B11" s="53">
        <v>6</v>
      </c>
      <c r="C11" s="53">
        <f t="shared" si="0"/>
        <v>2</v>
      </c>
      <c r="D11" s="56">
        <f t="shared" si="1"/>
        <v>1.5748031496062992E-2</v>
      </c>
      <c r="E11" s="53">
        <f t="shared" si="3"/>
        <v>127</v>
      </c>
      <c r="F11" s="56">
        <f t="shared" si="2"/>
        <v>1</v>
      </c>
    </row>
    <row r="12" spans="2:12" ht="15.75" x14ac:dyDescent="0.25">
      <c r="B12" s="54" t="s">
        <v>53</v>
      </c>
      <c r="C12" s="55">
        <f>SUM(C6:C11)</f>
        <v>127</v>
      </c>
      <c r="D12" s="55">
        <f>SUM(D6:D11)</f>
        <v>1</v>
      </c>
      <c r="E12" s="55"/>
      <c r="F12" s="55"/>
      <c r="G12" s="53"/>
      <c r="H12" s="53"/>
    </row>
    <row r="13" spans="2:12" ht="15.75" x14ac:dyDescent="0.25">
      <c r="B13" s="34" t="s">
        <v>54</v>
      </c>
      <c r="C13" s="36">
        <f>COUNTBLANK(Hermanos)</f>
        <v>15</v>
      </c>
    </row>
    <row r="37" spans="6:8" x14ac:dyDescent="0.25">
      <c r="F37" s="60" t="s">
        <v>114</v>
      </c>
    </row>
    <row r="38" spans="6:8" ht="18" x14ac:dyDescent="0.35">
      <c r="F38" t="s">
        <v>113</v>
      </c>
      <c r="G38" s="93">
        <f>F11-F7</f>
        <v>0.28346456692913391</v>
      </c>
      <c r="H38" s="60" t="s">
        <v>115</v>
      </c>
    </row>
    <row r="39" spans="6:8" ht="18" x14ac:dyDescent="0.35">
      <c r="F39" t="s">
        <v>112</v>
      </c>
      <c r="G39" s="92">
        <f>D8+D9+D10+D11</f>
        <v>0.2834645669291338</v>
      </c>
      <c r="H39" s="60" t="s">
        <v>116</v>
      </c>
    </row>
  </sheetData>
  <pageMargins left="0.7" right="0.7" top="0.75" bottom="0.75" header="0.3" footer="0.3"/>
  <pageSetup paperSize="9" orientation="portrait" horizontalDpi="300" r:id="rId1"/>
  <ignoredErrors>
    <ignoredError sqref="E6:E11"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95"/>
  <sheetViews>
    <sheetView topLeftCell="A46" workbookViewId="0">
      <selection activeCell="K13" sqref="K13"/>
    </sheetView>
  </sheetViews>
  <sheetFormatPr baseColWidth="10" defaultRowHeight="15" x14ac:dyDescent="0.25"/>
  <cols>
    <col min="5" max="5" width="8.42578125" customWidth="1"/>
    <col min="6" max="6" width="19.42578125" customWidth="1"/>
    <col min="10" max="10" width="13.85546875" customWidth="1"/>
    <col min="11" max="11" width="15.28515625" customWidth="1"/>
    <col min="12" max="12" width="16.7109375" customWidth="1"/>
    <col min="13" max="13" width="15.28515625" customWidth="1"/>
    <col min="14" max="14" width="15.140625" customWidth="1"/>
    <col min="15" max="15" width="12.42578125" bestFit="1" customWidth="1"/>
    <col min="16" max="16" width="15.140625" bestFit="1" customWidth="1"/>
    <col min="17" max="17" width="15.5703125" bestFit="1" customWidth="1"/>
  </cols>
  <sheetData>
    <row r="3" spans="1:17" ht="15.75" x14ac:dyDescent="0.25">
      <c r="A3" s="57" t="s">
        <v>0</v>
      </c>
      <c r="B3" s="57" t="s">
        <v>16</v>
      </c>
      <c r="C3" s="57" t="s">
        <v>0</v>
      </c>
      <c r="D3" s="57" t="s">
        <v>16</v>
      </c>
      <c r="F3" s="74" t="s">
        <v>71</v>
      </c>
      <c r="G3" s="43">
        <f>MIN(Estatura)</f>
        <v>150</v>
      </c>
    </row>
    <row r="4" spans="1:17" ht="15.75" x14ac:dyDescent="0.25">
      <c r="A4" s="2" t="s">
        <v>2</v>
      </c>
      <c r="B4" s="4">
        <v>182</v>
      </c>
      <c r="C4" s="2" t="s">
        <v>1</v>
      </c>
      <c r="D4" s="4">
        <v>162</v>
      </c>
      <c r="F4" s="74" t="s">
        <v>72</v>
      </c>
      <c r="G4" s="43">
        <f>MAX(Estatura)</f>
        <v>193</v>
      </c>
    </row>
    <row r="5" spans="1:17" ht="15.75" x14ac:dyDescent="0.25">
      <c r="A5" s="2" t="s">
        <v>2</v>
      </c>
      <c r="B5" s="4">
        <v>185</v>
      </c>
      <c r="C5" s="2" t="s">
        <v>1</v>
      </c>
      <c r="D5" s="4">
        <v>172</v>
      </c>
      <c r="F5" s="74" t="s">
        <v>93</v>
      </c>
      <c r="G5" s="43">
        <v>150</v>
      </c>
      <c r="K5" s="61"/>
    </row>
    <row r="6" spans="1:17" ht="15.75" x14ac:dyDescent="0.25">
      <c r="A6" s="2" t="s">
        <v>2</v>
      </c>
      <c r="B6" s="4">
        <v>170</v>
      </c>
      <c r="C6" s="2" t="s">
        <v>1</v>
      </c>
      <c r="D6" s="4">
        <v>159</v>
      </c>
      <c r="F6" s="74" t="s">
        <v>94</v>
      </c>
      <c r="G6" s="43">
        <v>195</v>
      </c>
      <c r="J6" s="64"/>
      <c r="L6" s="62"/>
    </row>
    <row r="7" spans="1:17" ht="15.75" x14ac:dyDescent="0.25">
      <c r="A7" s="2" t="s">
        <v>2</v>
      </c>
      <c r="B7" s="4">
        <v>182</v>
      </c>
      <c r="C7" s="2" t="s">
        <v>1</v>
      </c>
      <c r="D7" s="16">
        <v>160</v>
      </c>
      <c r="F7" s="74" t="s">
        <v>95</v>
      </c>
      <c r="G7" s="43">
        <v>9</v>
      </c>
      <c r="H7" s="68"/>
      <c r="I7" s="68"/>
      <c r="J7" s="64"/>
      <c r="L7" s="62"/>
    </row>
    <row r="8" spans="1:17" ht="15.75" x14ac:dyDescent="0.25">
      <c r="A8" s="2" t="s">
        <v>2</v>
      </c>
      <c r="B8" s="4">
        <v>182</v>
      </c>
      <c r="C8" s="2" t="s">
        <v>1</v>
      </c>
      <c r="D8" s="4">
        <v>163</v>
      </c>
      <c r="F8" s="74" t="s">
        <v>96</v>
      </c>
      <c r="G8" s="43">
        <v>5</v>
      </c>
      <c r="H8" s="63"/>
      <c r="I8" s="63"/>
      <c r="J8" s="69"/>
    </row>
    <row r="9" spans="1:17" x14ac:dyDescent="0.25">
      <c r="A9" s="2" t="s">
        <v>2</v>
      </c>
      <c r="B9" s="4">
        <v>180</v>
      </c>
      <c r="C9" s="2" t="s">
        <v>1</v>
      </c>
      <c r="D9" s="4">
        <v>160</v>
      </c>
      <c r="G9" s="68"/>
      <c r="H9" s="63"/>
      <c r="I9" s="63"/>
      <c r="J9" s="60"/>
    </row>
    <row r="10" spans="1:17" x14ac:dyDescent="0.25">
      <c r="A10" s="2" t="s">
        <v>2</v>
      </c>
      <c r="B10" s="4">
        <v>178</v>
      </c>
      <c r="C10" s="2" t="s">
        <v>1</v>
      </c>
      <c r="D10" s="4">
        <v>162</v>
      </c>
      <c r="G10" s="75"/>
    </row>
    <row r="11" spans="1:17" x14ac:dyDescent="0.25">
      <c r="A11" s="2" t="s">
        <v>2</v>
      </c>
      <c r="B11" s="4">
        <v>173</v>
      </c>
      <c r="C11" s="2" t="s">
        <v>1</v>
      </c>
      <c r="D11" s="4">
        <v>165</v>
      </c>
      <c r="G11" s="68"/>
      <c r="H11" s="64"/>
      <c r="I11" s="66"/>
    </row>
    <row r="12" spans="1:17" ht="15.75" x14ac:dyDescent="0.25">
      <c r="A12" s="2" t="s">
        <v>2</v>
      </c>
      <c r="B12" s="4">
        <v>184</v>
      </c>
      <c r="C12" s="2" t="s">
        <v>1</v>
      </c>
      <c r="D12" s="4">
        <v>165</v>
      </c>
      <c r="F12" s="44" t="s">
        <v>85</v>
      </c>
      <c r="G12" s="44" t="s">
        <v>86</v>
      </c>
      <c r="H12" s="44" t="s">
        <v>63</v>
      </c>
      <c r="I12" s="44" t="s">
        <v>87</v>
      </c>
      <c r="J12" s="44" t="s">
        <v>88</v>
      </c>
      <c r="K12" s="44" t="s">
        <v>89</v>
      </c>
      <c r="L12" s="44" t="s">
        <v>90</v>
      </c>
      <c r="M12" s="44" t="s">
        <v>91</v>
      </c>
      <c r="N12" s="44" t="s">
        <v>92</v>
      </c>
      <c r="O12" s="91" t="s">
        <v>108</v>
      </c>
      <c r="P12" s="91" t="s">
        <v>109</v>
      </c>
      <c r="Q12" s="91" t="s">
        <v>110</v>
      </c>
    </row>
    <row r="13" spans="1:17" ht="15.75" x14ac:dyDescent="0.25">
      <c r="A13" s="2" t="s">
        <v>2</v>
      </c>
      <c r="B13" s="4">
        <v>172</v>
      </c>
      <c r="C13" s="2" t="s">
        <v>1</v>
      </c>
      <c r="D13" s="16">
        <v>173</v>
      </c>
      <c r="F13" s="47">
        <f>G5</f>
        <v>150</v>
      </c>
      <c r="G13" s="47">
        <f>F13+$G$8</f>
        <v>155</v>
      </c>
      <c r="H13" s="45">
        <f>(F13+G13)/2</f>
        <v>152.5</v>
      </c>
      <c r="I13" s="70">
        <f t="array" ref="I13:I21">FREQUENCY(Estatura,G13:G21)</f>
        <v>2</v>
      </c>
      <c r="J13" s="70">
        <f t="array" ref="J13:J21">FREQUENCY(Estatura_H,G13:G21)</f>
        <v>0</v>
      </c>
      <c r="K13" s="70">
        <f t="array" ref="K13:K21">FREQUENCY(Estatura_M,G13:G21)</f>
        <v>2</v>
      </c>
      <c r="L13" s="71">
        <f t="shared" ref="L13:L21" si="0">I13/I$22</f>
        <v>1.4705882352941176E-2</v>
      </c>
      <c r="M13" s="71">
        <f t="shared" ref="M13:M21" si="1">J13/J$22</f>
        <v>0</v>
      </c>
      <c r="N13" s="71">
        <f t="shared" ref="N13:N21" si="2">K13/K$22</f>
        <v>3.7735849056603772E-2</v>
      </c>
      <c r="O13" s="71">
        <f>L13</f>
        <v>1.4705882352941176E-2</v>
      </c>
      <c r="P13" s="71">
        <f>M13</f>
        <v>0</v>
      </c>
      <c r="Q13" s="71">
        <f>N13</f>
        <v>3.7735849056603772E-2</v>
      </c>
    </row>
    <row r="14" spans="1:17" ht="15.75" x14ac:dyDescent="0.25">
      <c r="A14" s="2" t="s">
        <v>2</v>
      </c>
      <c r="B14" s="16">
        <v>174</v>
      </c>
      <c r="C14" s="2" t="s">
        <v>1</v>
      </c>
      <c r="D14" s="4">
        <v>167</v>
      </c>
      <c r="F14" s="47">
        <f>G13</f>
        <v>155</v>
      </c>
      <c r="G14" s="47">
        <f>F14+$G$8</f>
        <v>160</v>
      </c>
      <c r="H14" s="45">
        <f t="shared" ref="H14:H21" si="3">(F14+G14)/2</f>
        <v>157.5</v>
      </c>
      <c r="I14" s="70">
        <v>10</v>
      </c>
      <c r="J14" s="70">
        <v>1</v>
      </c>
      <c r="K14" s="70">
        <v>9</v>
      </c>
      <c r="L14" s="71">
        <f t="shared" si="0"/>
        <v>7.3529411764705885E-2</v>
      </c>
      <c r="M14" s="71">
        <f t="shared" si="1"/>
        <v>1.2048192771084338E-2</v>
      </c>
      <c r="N14" s="71">
        <f t="shared" si="2"/>
        <v>0.16981132075471697</v>
      </c>
      <c r="O14" s="71">
        <f>O13+L14</f>
        <v>8.8235294117647065E-2</v>
      </c>
      <c r="P14" s="71">
        <f>P13+M14</f>
        <v>1.2048192771084338E-2</v>
      </c>
      <c r="Q14" s="71">
        <f>Q13+N14</f>
        <v>0.20754716981132074</v>
      </c>
    </row>
    <row r="15" spans="1:17" ht="15.75" x14ac:dyDescent="0.25">
      <c r="A15" s="2" t="s">
        <v>2</v>
      </c>
      <c r="B15" s="4">
        <v>173</v>
      </c>
      <c r="C15" s="2" t="s">
        <v>1</v>
      </c>
      <c r="D15" s="4">
        <v>170</v>
      </c>
      <c r="F15" s="47">
        <f t="shared" ref="F15:F21" si="4">G14</f>
        <v>160</v>
      </c>
      <c r="G15" s="47">
        <f t="shared" ref="G15:G21" si="5">F15+$G$8</f>
        <v>165</v>
      </c>
      <c r="H15" s="45">
        <f t="shared" si="3"/>
        <v>162.5</v>
      </c>
      <c r="I15" s="70">
        <v>24</v>
      </c>
      <c r="J15" s="70">
        <v>3</v>
      </c>
      <c r="K15" s="70">
        <v>21</v>
      </c>
      <c r="L15" s="71">
        <f t="shared" si="0"/>
        <v>0.17647058823529413</v>
      </c>
      <c r="M15" s="71">
        <f t="shared" si="1"/>
        <v>3.614457831325301E-2</v>
      </c>
      <c r="N15" s="71">
        <f t="shared" si="2"/>
        <v>0.39622641509433965</v>
      </c>
      <c r="O15" s="71">
        <f t="shared" ref="O15:O21" si="6">O14+L15</f>
        <v>0.26470588235294118</v>
      </c>
      <c r="P15" s="71">
        <f t="shared" ref="P15:P21" si="7">P14+M15</f>
        <v>4.8192771084337352E-2</v>
      </c>
      <c r="Q15" s="71">
        <f t="shared" ref="Q15:Q21" si="8">Q14+N15</f>
        <v>0.60377358490566035</v>
      </c>
    </row>
    <row r="16" spans="1:17" ht="15.75" x14ac:dyDescent="0.25">
      <c r="A16" s="2" t="s">
        <v>2</v>
      </c>
      <c r="B16" s="4">
        <v>171</v>
      </c>
      <c r="C16" s="2" t="s">
        <v>1</v>
      </c>
      <c r="D16" s="4">
        <v>163.5</v>
      </c>
      <c r="F16" s="47">
        <f t="shared" si="4"/>
        <v>165</v>
      </c>
      <c r="G16" s="47">
        <f t="shared" si="5"/>
        <v>170</v>
      </c>
      <c r="H16" s="45">
        <f t="shared" si="3"/>
        <v>167.5</v>
      </c>
      <c r="I16" s="70">
        <v>21</v>
      </c>
      <c r="J16" s="70">
        <v>10</v>
      </c>
      <c r="K16" s="70">
        <v>11</v>
      </c>
      <c r="L16" s="71">
        <f t="shared" si="0"/>
        <v>0.15441176470588236</v>
      </c>
      <c r="M16" s="71">
        <f t="shared" si="1"/>
        <v>0.12048192771084337</v>
      </c>
      <c r="N16" s="71">
        <f t="shared" si="2"/>
        <v>0.20754716981132076</v>
      </c>
      <c r="O16" s="71">
        <f t="shared" si="6"/>
        <v>0.41911764705882354</v>
      </c>
      <c r="P16" s="71">
        <f t="shared" si="7"/>
        <v>0.16867469879518071</v>
      </c>
      <c r="Q16" s="71">
        <f t="shared" si="8"/>
        <v>0.81132075471698117</v>
      </c>
    </row>
    <row r="17" spans="1:17" ht="15.75" x14ac:dyDescent="0.25">
      <c r="A17" s="2" t="s">
        <v>2</v>
      </c>
      <c r="B17" s="4">
        <v>177</v>
      </c>
      <c r="C17" s="2" t="s">
        <v>1</v>
      </c>
      <c r="D17" s="4">
        <v>150</v>
      </c>
      <c r="F17" s="47">
        <f t="shared" si="4"/>
        <v>170</v>
      </c>
      <c r="G17" s="47">
        <f t="shared" si="5"/>
        <v>175</v>
      </c>
      <c r="H17" s="45">
        <f t="shared" si="3"/>
        <v>172.5</v>
      </c>
      <c r="I17" s="70">
        <v>26</v>
      </c>
      <c r="J17" s="70">
        <v>18</v>
      </c>
      <c r="K17" s="70">
        <v>8</v>
      </c>
      <c r="L17" s="71">
        <f t="shared" si="0"/>
        <v>0.19117647058823528</v>
      </c>
      <c r="M17" s="71">
        <f t="shared" si="1"/>
        <v>0.21686746987951808</v>
      </c>
      <c r="N17" s="71">
        <f t="shared" si="2"/>
        <v>0.15094339622641509</v>
      </c>
      <c r="O17" s="71">
        <f t="shared" si="6"/>
        <v>0.61029411764705888</v>
      </c>
      <c r="P17" s="71">
        <f t="shared" si="7"/>
        <v>0.38554216867469882</v>
      </c>
      <c r="Q17" s="71">
        <f t="shared" si="8"/>
        <v>0.96226415094339623</v>
      </c>
    </row>
    <row r="18" spans="1:17" ht="15.75" x14ac:dyDescent="0.25">
      <c r="A18" s="2" t="s">
        <v>2</v>
      </c>
      <c r="B18" s="4">
        <v>175</v>
      </c>
      <c r="C18" s="2" t="s">
        <v>1</v>
      </c>
      <c r="D18" s="4">
        <v>185</v>
      </c>
      <c r="F18" s="47">
        <f t="shared" si="4"/>
        <v>175</v>
      </c>
      <c r="G18" s="47">
        <f t="shared" si="5"/>
        <v>180</v>
      </c>
      <c r="H18" s="45">
        <f t="shared" si="3"/>
        <v>177.5</v>
      </c>
      <c r="I18" s="70">
        <v>23</v>
      </c>
      <c r="J18" s="70">
        <v>23</v>
      </c>
      <c r="K18" s="70">
        <v>0</v>
      </c>
      <c r="L18" s="71">
        <f t="shared" si="0"/>
        <v>0.16911764705882354</v>
      </c>
      <c r="M18" s="71">
        <f t="shared" si="1"/>
        <v>0.27710843373493976</v>
      </c>
      <c r="N18" s="71">
        <f t="shared" si="2"/>
        <v>0</v>
      </c>
      <c r="O18" s="71">
        <f t="shared" si="6"/>
        <v>0.77941176470588247</v>
      </c>
      <c r="P18" s="71">
        <f t="shared" si="7"/>
        <v>0.66265060240963858</v>
      </c>
      <c r="Q18" s="71">
        <f t="shared" si="8"/>
        <v>0.96226415094339623</v>
      </c>
    </row>
    <row r="19" spans="1:17" ht="15.75" x14ac:dyDescent="0.25">
      <c r="A19" s="2" t="s">
        <v>2</v>
      </c>
      <c r="B19" s="4">
        <v>180</v>
      </c>
      <c r="C19" s="2" t="s">
        <v>1</v>
      </c>
      <c r="D19" s="4">
        <v>167</v>
      </c>
      <c r="F19" s="47">
        <f t="shared" si="4"/>
        <v>180</v>
      </c>
      <c r="G19" s="47">
        <f t="shared" si="5"/>
        <v>185</v>
      </c>
      <c r="H19" s="45">
        <f t="shared" si="3"/>
        <v>182.5</v>
      </c>
      <c r="I19" s="70">
        <v>17</v>
      </c>
      <c r="J19" s="70">
        <v>16</v>
      </c>
      <c r="K19" s="70">
        <v>1</v>
      </c>
      <c r="L19" s="71">
        <f t="shared" si="0"/>
        <v>0.125</v>
      </c>
      <c r="M19" s="71">
        <f t="shared" si="1"/>
        <v>0.19277108433734941</v>
      </c>
      <c r="N19" s="71">
        <f t="shared" si="2"/>
        <v>1.8867924528301886E-2</v>
      </c>
      <c r="O19" s="71">
        <f t="shared" si="6"/>
        <v>0.90441176470588247</v>
      </c>
      <c r="P19" s="71">
        <f t="shared" si="7"/>
        <v>0.85542168674698793</v>
      </c>
      <c r="Q19" s="71">
        <f t="shared" si="8"/>
        <v>0.98113207547169812</v>
      </c>
    </row>
    <row r="20" spans="1:17" ht="15.75" x14ac:dyDescent="0.25">
      <c r="A20" s="2" t="s">
        <v>2</v>
      </c>
      <c r="B20" s="4">
        <v>185</v>
      </c>
      <c r="C20" s="2" t="s">
        <v>1</v>
      </c>
      <c r="D20" s="4">
        <v>165</v>
      </c>
      <c r="F20" s="47">
        <f t="shared" si="4"/>
        <v>185</v>
      </c>
      <c r="G20" s="47">
        <f t="shared" si="5"/>
        <v>190</v>
      </c>
      <c r="H20" s="45">
        <f t="shared" si="3"/>
        <v>187.5</v>
      </c>
      <c r="I20" s="70">
        <v>11</v>
      </c>
      <c r="J20" s="70">
        <v>10</v>
      </c>
      <c r="K20" s="70">
        <v>1</v>
      </c>
      <c r="L20" s="71">
        <f t="shared" si="0"/>
        <v>8.0882352941176475E-2</v>
      </c>
      <c r="M20" s="71">
        <f t="shared" si="1"/>
        <v>0.12048192771084337</v>
      </c>
      <c r="N20" s="71">
        <f t="shared" si="2"/>
        <v>1.8867924528301886E-2</v>
      </c>
      <c r="O20" s="71">
        <f t="shared" si="6"/>
        <v>0.98529411764705899</v>
      </c>
      <c r="P20" s="71">
        <f t="shared" si="7"/>
        <v>0.97590361445783125</v>
      </c>
      <c r="Q20" s="71">
        <f t="shared" si="8"/>
        <v>1</v>
      </c>
    </row>
    <row r="21" spans="1:17" ht="15.75" x14ac:dyDescent="0.25">
      <c r="A21" s="2" t="s">
        <v>2</v>
      </c>
      <c r="B21" s="4">
        <v>172</v>
      </c>
      <c r="C21" s="2" t="s">
        <v>1</v>
      </c>
      <c r="D21" s="4">
        <v>165</v>
      </c>
      <c r="F21" s="47">
        <f t="shared" si="4"/>
        <v>190</v>
      </c>
      <c r="G21" s="47">
        <f t="shared" si="5"/>
        <v>195</v>
      </c>
      <c r="H21" s="45">
        <f t="shared" si="3"/>
        <v>192.5</v>
      </c>
      <c r="I21" s="70">
        <v>2</v>
      </c>
      <c r="J21" s="70">
        <v>2</v>
      </c>
      <c r="K21" s="70">
        <v>0</v>
      </c>
      <c r="L21" s="71">
        <f t="shared" si="0"/>
        <v>1.4705882352941176E-2</v>
      </c>
      <c r="M21" s="71">
        <f t="shared" si="1"/>
        <v>2.4096385542168676E-2</v>
      </c>
      <c r="N21" s="71">
        <f t="shared" si="2"/>
        <v>0</v>
      </c>
      <c r="O21" s="71">
        <f t="shared" si="6"/>
        <v>1.0000000000000002</v>
      </c>
      <c r="P21" s="71">
        <f t="shared" si="7"/>
        <v>0.99999999999999989</v>
      </c>
      <c r="Q21" s="71">
        <f t="shared" si="8"/>
        <v>1</v>
      </c>
    </row>
    <row r="22" spans="1:17" ht="15.75" x14ac:dyDescent="0.25">
      <c r="A22" s="2" t="s">
        <v>2</v>
      </c>
      <c r="B22" s="4">
        <v>183</v>
      </c>
      <c r="C22" s="2" t="s">
        <v>1</v>
      </c>
      <c r="D22" s="4">
        <v>163</v>
      </c>
      <c r="F22" s="94" t="s">
        <v>76</v>
      </c>
      <c r="G22" s="95"/>
      <c r="H22" s="48"/>
      <c r="I22" s="72">
        <f>SUM(I13:I21)</f>
        <v>136</v>
      </c>
      <c r="J22" s="72">
        <f t="shared" ref="J22:N22" si="9">SUM(J13:J21)</f>
        <v>83</v>
      </c>
      <c r="K22" s="72">
        <f t="shared" si="9"/>
        <v>53</v>
      </c>
      <c r="L22" s="73">
        <f t="shared" si="9"/>
        <v>1.0000000000000002</v>
      </c>
      <c r="M22" s="73">
        <f t="shared" si="9"/>
        <v>0.99999999999999989</v>
      </c>
      <c r="N22" s="73">
        <f t="shared" si="9"/>
        <v>1</v>
      </c>
      <c r="O22" s="64"/>
      <c r="P22" s="64"/>
    </row>
    <row r="23" spans="1:17" x14ac:dyDescent="0.25">
      <c r="A23" s="2" t="s">
        <v>2</v>
      </c>
      <c r="B23" s="4">
        <v>180</v>
      </c>
      <c r="C23" s="2" t="s">
        <v>1</v>
      </c>
      <c r="D23" s="4">
        <v>165</v>
      </c>
      <c r="O23" s="64"/>
      <c r="P23" s="64"/>
    </row>
    <row r="24" spans="1:17" x14ac:dyDescent="0.25">
      <c r="A24" s="2" t="s">
        <v>2</v>
      </c>
      <c r="B24" s="4">
        <v>171</v>
      </c>
      <c r="C24" s="2" t="s">
        <v>1</v>
      </c>
      <c r="D24" s="4">
        <v>165</v>
      </c>
      <c r="N24" s="64"/>
      <c r="O24" s="64"/>
      <c r="P24" s="64"/>
    </row>
    <row r="25" spans="1:17" x14ac:dyDescent="0.25">
      <c r="A25" s="2" t="s">
        <v>2</v>
      </c>
      <c r="B25" s="4">
        <v>186</v>
      </c>
      <c r="C25" s="2" t="s">
        <v>1</v>
      </c>
      <c r="D25" s="4">
        <v>187</v>
      </c>
      <c r="N25" s="65"/>
      <c r="O25" s="65"/>
      <c r="P25" s="65"/>
    </row>
    <row r="26" spans="1:17" x14ac:dyDescent="0.25">
      <c r="A26" s="2" t="s">
        <v>2</v>
      </c>
      <c r="B26" s="16">
        <v>187</v>
      </c>
      <c r="C26" s="2" t="s">
        <v>1</v>
      </c>
      <c r="D26" s="4">
        <v>175</v>
      </c>
    </row>
    <row r="27" spans="1:17" x14ac:dyDescent="0.25">
      <c r="A27" s="2" t="s">
        <v>2</v>
      </c>
      <c r="B27" s="16">
        <v>175</v>
      </c>
      <c r="C27" s="2" t="s">
        <v>1</v>
      </c>
      <c r="D27" s="16">
        <v>158</v>
      </c>
    </row>
    <row r="28" spans="1:17" x14ac:dyDescent="0.25">
      <c r="A28" s="2" t="s">
        <v>2</v>
      </c>
      <c r="B28" s="16">
        <v>180</v>
      </c>
      <c r="C28" s="2" t="s">
        <v>1</v>
      </c>
      <c r="D28" s="16">
        <v>168</v>
      </c>
    </row>
    <row r="29" spans="1:17" x14ac:dyDescent="0.25">
      <c r="A29" s="2" t="s">
        <v>2</v>
      </c>
      <c r="B29" s="16">
        <v>180</v>
      </c>
      <c r="C29" s="2" t="s">
        <v>1</v>
      </c>
      <c r="D29" s="16">
        <v>162</v>
      </c>
    </row>
    <row r="30" spans="1:17" x14ac:dyDescent="0.25">
      <c r="A30" s="2" t="s">
        <v>2</v>
      </c>
      <c r="B30" s="4">
        <v>168</v>
      </c>
      <c r="C30" s="2" t="s">
        <v>1</v>
      </c>
      <c r="D30" s="16">
        <v>168</v>
      </c>
    </row>
    <row r="31" spans="1:17" x14ac:dyDescent="0.25">
      <c r="A31" s="2" t="s">
        <v>2</v>
      </c>
      <c r="B31" s="4">
        <v>190</v>
      </c>
      <c r="C31" s="2" t="s">
        <v>1</v>
      </c>
      <c r="D31" s="16">
        <v>162</v>
      </c>
    </row>
    <row r="32" spans="1:17" x14ac:dyDescent="0.25">
      <c r="A32" s="2" t="s">
        <v>2</v>
      </c>
      <c r="B32" s="4">
        <v>169</v>
      </c>
      <c r="C32" s="2" t="s">
        <v>1</v>
      </c>
      <c r="D32" s="16">
        <v>158</v>
      </c>
    </row>
    <row r="33" spans="1:4" x14ac:dyDescent="0.25">
      <c r="A33" s="2" t="s">
        <v>2</v>
      </c>
      <c r="B33" s="4">
        <v>175</v>
      </c>
      <c r="C33" s="2" t="s">
        <v>1</v>
      </c>
      <c r="D33" s="16">
        <v>172</v>
      </c>
    </row>
    <row r="34" spans="1:4" x14ac:dyDescent="0.25">
      <c r="A34" s="2" t="s">
        <v>2</v>
      </c>
      <c r="B34" s="4">
        <v>165</v>
      </c>
      <c r="C34" s="2" t="s">
        <v>1</v>
      </c>
      <c r="D34" s="16">
        <v>171</v>
      </c>
    </row>
    <row r="35" spans="1:4" x14ac:dyDescent="0.25">
      <c r="A35" s="2" t="s">
        <v>2</v>
      </c>
      <c r="B35" s="4">
        <v>176</v>
      </c>
      <c r="C35" s="2" t="s">
        <v>1</v>
      </c>
      <c r="D35" s="16">
        <v>165</v>
      </c>
    </row>
    <row r="36" spans="1:4" x14ac:dyDescent="0.25">
      <c r="A36" s="2" t="s">
        <v>2</v>
      </c>
      <c r="B36" s="4">
        <v>178</v>
      </c>
      <c r="C36" s="2" t="s">
        <v>1</v>
      </c>
      <c r="D36" s="16">
        <v>165</v>
      </c>
    </row>
    <row r="37" spans="1:4" x14ac:dyDescent="0.25">
      <c r="A37" s="2" t="s">
        <v>2</v>
      </c>
      <c r="B37" s="4">
        <v>165</v>
      </c>
      <c r="C37" s="2" t="s">
        <v>1</v>
      </c>
      <c r="D37" s="16">
        <v>165</v>
      </c>
    </row>
    <row r="38" spans="1:4" x14ac:dyDescent="0.25">
      <c r="A38" s="2" t="s">
        <v>2</v>
      </c>
      <c r="B38" s="4">
        <v>174</v>
      </c>
      <c r="C38" s="2" t="s">
        <v>1</v>
      </c>
      <c r="D38" s="4">
        <v>165</v>
      </c>
    </row>
    <row r="39" spans="1:4" x14ac:dyDescent="0.25">
      <c r="A39" s="2" t="s">
        <v>2</v>
      </c>
      <c r="B39" s="16">
        <v>175</v>
      </c>
      <c r="C39" s="2" t="s">
        <v>1</v>
      </c>
      <c r="D39" s="4">
        <v>173</v>
      </c>
    </row>
    <row r="40" spans="1:4" x14ac:dyDescent="0.25">
      <c r="A40" s="2" t="s">
        <v>2</v>
      </c>
      <c r="B40" s="16">
        <v>190</v>
      </c>
      <c r="C40" s="2" t="s">
        <v>1</v>
      </c>
      <c r="D40" s="4">
        <v>165</v>
      </c>
    </row>
    <row r="41" spans="1:4" x14ac:dyDescent="0.25">
      <c r="A41" s="2" t="s">
        <v>2</v>
      </c>
      <c r="B41" s="16">
        <v>178</v>
      </c>
      <c r="C41" s="2" t="s">
        <v>1</v>
      </c>
      <c r="D41" s="4">
        <v>165</v>
      </c>
    </row>
    <row r="42" spans="1:4" x14ac:dyDescent="0.25">
      <c r="A42" s="2" t="s">
        <v>2</v>
      </c>
      <c r="B42" s="16">
        <v>166</v>
      </c>
      <c r="C42" s="2" t="s">
        <v>1</v>
      </c>
      <c r="D42" s="4">
        <v>167</v>
      </c>
    </row>
    <row r="43" spans="1:4" x14ac:dyDescent="0.25">
      <c r="A43" s="2" t="s">
        <v>2</v>
      </c>
      <c r="B43" s="16">
        <v>180</v>
      </c>
      <c r="C43" s="2" t="s">
        <v>1</v>
      </c>
      <c r="D43" s="4">
        <v>169</v>
      </c>
    </row>
    <row r="44" spans="1:4" x14ac:dyDescent="0.25">
      <c r="A44" s="2" t="s">
        <v>2</v>
      </c>
      <c r="B44" s="16">
        <v>189</v>
      </c>
      <c r="C44" s="2" t="s">
        <v>1</v>
      </c>
      <c r="D44" s="4">
        <v>170</v>
      </c>
    </row>
    <row r="45" spans="1:4" x14ac:dyDescent="0.25">
      <c r="A45" s="2" t="s">
        <v>2</v>
      </c>
      <c r="B45" s="16">
        <v>190</v>
      </c>
      <c r="C45" s="2" t="s">
        <v>1</v>
      </c>
      <c r="D45" s="4">
        <v>162</v>
      </c>
    </row>
    <row r="46" spans="1:4" x14ac:dyDescent="0.25">
      <c r="A46" s="2" t="s">
        <v>2</v>
      </c>
      <c r="B46" s="16">
        <v>180</v>
      </c>
      <c r="C46" s="2" t="s">
        <v>1</v>
      </c>
      <c r="D46" s="4">
        <v>150</v>
      </c>
    </row>
    <row r="47" spans="1:4" x14ac:dyDescent="0.25">
      <c r="A47" s="2" t="s">
        <v>2</v>
      </c>
      <c r="B47" s="16">
        <v>182</v>
      </c>
      <c r="C47" s="2" t="s">
        <v>1</v>
      </c>
      <c r="D47" s="4">
        <v>170</v>
      </c>
    </row>
    <row r="48" spans="1:4" x14ac:dyDescent="0.25">
      <c r="A48" s="2" t="s">
        <v>2</v>
      </c>
      <c r="B48" s="16">
        <v>180</v>
      </c>
      <c r="C48" s="2" t="s">
        <v>1</v>
      </c>
      <c r="D48" s="4">
        <v>169</v>
      </c>
    </row>
    <row r="49" spans="1:4" x14ac:dyDescent="0.25">
      <c r="A49" s="2" t="s">
        <v>2</v>
      </c>
      <c r="B49" s="16">
        <v>175</v>
      </c>
      <c r="C49" s="2" t="s">
        <v>1</v>
      </c>
      <c r="D49" s="4">
        <v>172</v>
      </c>
    </row>
    <row r="50" spans="1:4" x14ac:dyDescent="0.25">
      <c r="A50" s="2" t="s">
        <v>2</v>
      </c>
      <c r="B50" s="16">
        <v>183</v>
      </c>
      <c r="C50" s="2" t="s">
        <v>1</v>
      </c>
      <c r="D50" s="4">
        <v>160</v>
      </c>
    </row>
    <row r="51" spans="1:4" x14ac:dyDescent="0.25">
      <c r="A51" s="2" t="s">
        <v>2</v>
      </c>
      <c r="B51" s="16">
        <v>180</v>
      </c>
      <c r="C51" s="2" t="s">
        <v>1</v>
      </c>
      <c r="D51" s="4">
        <v>173</v>
      </c>
    </row>
    <row r="52" spans="1:4" x14ac:dyDescent="0.25">
      <c r="A52" s="2" t="s">
        <v>2</v>
      </c>
      <c r="B52" s="4">
        <v>175</v>
      </c>
      <c r="C52" s="2" t="s">
        <v>1</v>
      </c>
      <c r="D52" s="4">
        <v>168</v>
      </c>
    </row>
    <row r="53" spans="1:4" x14ac:dyDescent="0.25">
      <c r="A53" s="2" t="s">
        <v>2</v>
      </c>
      <c r="B53" s="4">
        <v>180</v>
      </c>
      <c r="C53" s="2" t="s">
        <v>1</v>
      </c>
      <c r="D53" s="4">
        <v>163</v>
      </c>
    </row>
    <row r="54" spans="1:4" x14ac:dyDescent="0.25">
      <c r="A54" s="2" t="s">
        <v>2</v>
      </c>
      <c r="B54" s="4">
        <v>175</v>
      </c>
      <c r="C54" s="2" t="s">
        <v>1</v>
      </c>
      <c r="D54" s="16">
        <v>160</v>
      </c>
    </row>
    <row r="55" spans="1:4" x14ac:dyDescent="0.25">
      <c r="A55" s="2" t="s">
        <v>2</v>
      </c>
      <c r="B55" s="16">
        <v>180</v>
      </c>
      <c r="C55" s="2" t="s">
        <v>1</v>
      </c>
      <c r="D55" s="4">
        <v>160</v>
      </c>
    </row>
    <row r="56" spans="1:4" x14ac:dyDescent="0.25">
      <c r="A56" s="2" t="s">
        <v>2</v>
      </c>
      <c r="B56" s="16">
        <v>180</v>
      </c>
      <c r="C56" s="2" t="s">
        <v>1</v>
      </c>
      <c r="D56" s="4">
        <v>160</v>
      </c>
    </row>
    <row r="57" spans="1:4" x14ac:dyDescent="0.25">
      <c r="A57" s="2" t="s">
        <v>2</v>
      </c>
      <c r="B57" s="16">
        <v>186</v>
      </c>
    </row>
    <row r="58" spans="1:4" x14ac:dyDescent="0.25">
      <c r="A58" s="2" t="s">
        <v>2</v>
      </c>
      <c r="B58" s="16">
        <v>181</v>
      </c>
    </row>
    <row r="59" spans="1:4" x14ac:dyDescent="0.25">
      <c r="A59" s="2" t="s">
        <v>2</v>
      </c>
      <c r="B59" s="16">
        <v>158</v>
      </c>
    </row>
    <row r="60" spans="1:4" x14ac:dyDescent="0.25">
      <c r="A60" s="2" t="s">
        <v>2</v>
      </c>
      <c r="B60" s="16">
        <v>178</v>
      </c>
    </row>
    <row r="61" spans="1:4" x14ac:dyDescent="0.25">
      <c r="A61" s="2" t="s">
        <v>2</v>
      </c>
      <c r="B61" s="16">
        <v>175</v>
      </c>
    </row>
    <row r="62" spans="1:4" x14ac:dyDescent="0.25">
      <c r="A62" s="2" t="s">
        <v>2</v>
      </c>
      <c r="B62" s="16">
        <v>180</v>
      </c>
    </row>
    <row r="63" spans="1:4" x14ac:dyDescent="0.25">
      <c r="A63" s="2" t="s">
        <v>2</v>
      </c>
      <c r="B63" s="16">
        <v>182</v>
      </c>
    </row>
    <row r="64" spans="1:4" x14ac:dyDescent="0.25">
      <c r="A64" s="2" t="s">
        <v>2</v>
      </c>
      <c r="B64" s="4">
        <v>185</v>
      </c>
    </row>
    <row r="65" spans="1:2" x14ac:dyDescent="0.25">
      <c r="A65" s="2" t="s">
        <v>2</v>
      </c>
      <c r="B65" s="4">
        <v>170</v>
      </c>
    </row>
    <row r="66" spans="1:2" x14ac:dyDescent="0.25">
      <c r="A66" s="2" t="s">
        <v>2</v>
      </c>
      <c r="B66" s="4">
        <v>189</v>
      </c>
    </row>
    <row r="67" spans="1:2" x14ac:dyDescent="0.25">
      <c r="A67" s="2" t="s">
        <v>2</v>
      </c>
      <c r="B67" s="4">
        <v>170</v>
      </c>
    </row>
    <row r="68" spans="1:2" x14ac:dyDescent="0.25">
      <c r="A68" s="2" t="s">
        <v>2</v>
      </c>
      <c r="B68" s="4">
        <v>185</v>
      </c>
    </row>
    <row r="69" spans="1:2" x14ac:dyDescent="0.25">
      <c r="A69" s="2" t="s">
        <v>2</v>
      </c>
      <c r="B69" s="4">
        <v>189</v>
      </c>
    </row>
    <row r="70" spans="1:2" x14ac:dyDescent="0.25">
      <c r="A70" s="2" t="s">
        <v>2</v>
      </c>
      <c r="B70" s="4">
        <v>180</v>
      </c>
    </row>
    <row r="71" spans="1:2" x14ac:dyDescent="0.25">
      <c r="A71" s="2" t="s">
        <v>2</v>
      </c>
      <c r="B71" s="4">
        <v>192</v>
      </c>
    </row>
    <row r="72" spans="1:2" x14ac:dyDescent="0.25">
      <c r="A72" s="2" t="s">
        <v>2</v>
      </c>
      <c r="B72" s="4">
        <v>193</v>
      </c>
    </row>
    <row r="73" spans="1:2" x14ac:dyDescent="0.25">
      <c r="A73" s="2" t="s">
        <v>2</v>
      </c>
      <c r="B73" s="4">
        <v>170</v>
      </c>
    </row>
    <row r="74" spans="1:2" x14ac:dyDescent="0.25">
      <c r="A74" s="2" t="s">
        <v>2</v>
      </c>
      <c r="B74" s="4">
        <v>170</v>
      </c>
    </row>
    <row r="75" spans="1:2" x14ac:dyDescent="0.25">
      <c r="A75" s="2" t="s">
        <v>2</v>
      </c>
      <c r="B75" s="4">
        <v>168</v>
      </c>
    </row>
    <row r="76" spans="1:2" x14ac:dyDescent="0.25">
      <c r="A76" s="2" t="s">
        <v>2</v>
      </c>
      <c r="B76" s="4">
        <v>176</v>
      </c>
    </row>
    <row r="77" spans="1:2" x14ac:dyDescent="0.25">
      <c r="A77" s="2" t="s">
        <v>2</v>
      </c>
      <c r="B77" s="4">
        <v>173</v>
      </c>
    </row>
    <row r="78" spans="1:2" x14ac:dyDescent="0.25">
      <c r="A78" s="2" t="s">
        <v>2</v>
      </c>
      <c r="B78" s="4">
        <v>163</v>
      </c>
    </row>
    <row r="79" spans="1:2" x14ac:dyDescent="0.25">
      <c r="A79" s="2" t="s">
        <v>2</v>
      </c>
      <c r="B79" s="4">
        <v>183</v>
      </c>
    </row>
    <row r="80" spans="1:2" x14ac:dyDescent="0.25">
      <c r="A80" s="2" t="s">
        <v>2</v>
      </c>
      <c r="B80" s="4">
        <v>167</v>
      </c>
    </row>
    <row r="81" spans="1:8" x14ac:dyDescent="0.25">
      <c r="A81" s="2" t="s">
        <v>2</v>
      </c>
      <c r="B81" s="4">
        <v>181</v>
      </c>
    </row>
    <row r="82" spans="1:8" x14ac:dyDescent="0.25">
      <c r="A82" s="2" t="s">
        <v>2</v>
      </c>
      <c r="B82" s="4">
        <v>182</v>
      </c>
    </row>
    <row r="83" spans="1:8" x14ac:dyDescent="0.25">
      <c r="A83" s="2" t="s">
        <v>2</v>
      </c>
      <c r="B83" s="4">
        <v>180</v>
      </c>
    </row>
    <row r="84" spans="1:8" x14ac:dyDescent="0.25">
      <c r="A84" s="2" t="s">
        <v>2</v>
      </c>
      <c r="B84" s="4">
        <v>177</v>
      </c>
    </row>
    <row r="85" spans="1:8" x14ac:dyDescent="0.25">
      <c r="A85" s="2" t="s">
        <v>2</v>
      </c>
      <c r="B85" s="4">
        <v>174</v>
      </c>
    </row>
    <row r="86" spans="1:8" x14ac:dyDescent="0.25">
      <c r="A86" s="2" t="s">
        <v>2</v>
      </c>
      <c r="B86" s="4">
        <v>190</v>
      </c>
    </row>
    <row r="91" spans="1:8" x14ac:dyDescent="0.25">
      <c r="E91" s="60" t="s">
        <v>117</v>
      </c>
      <c r="F91" t="s">
        <v>106</v>
      </c>
      <c r="G91" s="65"/>
      <c r="H91" s="65">
        <f>O18-O14</f>
        <v>0.69117647058823539</v>
      </c>
    </row>
    <row r="93" spans="1:8" x14ac:dyDescent="0.25">
      <c r="E93" s="60" t="s">
        <v>118</v>
      </c>
      <c r="F93" t="s">
        <v>107</v>
      </c>
      <c r="H93" s="65">
        <f>Q21-Q18</f>
        <v>3.7735849056603765E-2</v>
      </c>
    </row>
    <row r="95" spans="1:8" x14ac:dyDescent="0.25">
      <c r="F95" t="s">
        <v>111</v>
      </c>
      <c r="H95" s="65">
        <f>P16</f>
        <v>0.16867469879518071</v>
      </c>
    </row>
  </sheetData>
  <sortState ref="A4:B139">
    <sortCondition ref="A4:A139"/>
  </sortState>
  <mergeCells count="1">
    <mergeCell ref="F22:G2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F11"/>
  <sheetViews>
    <sheetView topLeftCell="B1" workbookViewId="0">
      <selection activeCell="B6" sqref="A6:XFD7"/>
    </sheetView>
  </sheetViews>
  <sheetFormatPr baseColWidth="10" defaultRowHeight="15" x14ac:dyDescent="0.25"/>
  <cols>
    <col min="2" max="2" width="16" customWidth="1"/>
    <col min="3" max="3" width="42.42578125" customWidth="1"/>
  </cols>
  <sheetData>
    <row r="7" spans="3:6" ht="21.75" x14ac:dyDescent="0.4">
      <c r="C7" s="21" t="s">
        <v>97</v>
      </c>
      <c r="D7" s="22" t="s">
        <v>63</v>
      </c>
      <c r="E7" s="22" t="s">
        <v>51</v>
      </c>
      <c r="F7" s="22" t="s">
        <v>52</v>
      </c>
    </row>
    <row r="8" spans="3:6" ht="18" x14ac:dyDescent="0.35">
      <c r="C8" s="23" t="s">
        <v>12</v>
      </c>
      <c r="D8" s="33">
        <v>0</v>
      </c>
      <c r="E8" s="24">
        <f>COUNTIF(Centronum,D8)</f>
        <v>89</v>
      </c>
      <c r="F8" s="25">
        <f>E8/$E$10</f>
        <v>0.64492753623188404</v>
      </c>
    </row>
    <row r="9" spans="3:6" ht="18" x14ac:dyDescent="0.35">
      <c r="C9" s="23" t="s">
        <v>13</v>
      </c>
      <c r="D9" s="33">
        <v>1</v>
      </c>
      <c r="E9" s="24">
        <f>COUNTIF(Centronum,D9)</f>
        <v>49</v>
      </c>
      <c r="F9" s="25">
        <f>E9/$E$10</f>
        <v>0.35507246376811596</v>
      </c>
    </row>
    <row r="10" spans="3:6" ht="18" x14ac:dyDescent="0.35">
      <c r="C10" s="26" t="s">
        <v>53</v>
      </c>
      <c r="D10" s="26"/>
      <c r="E10" s="26">
        <f>SUM(E8:E9)</f>
        <v>138</v>
      </c>
      <c r="F10" s="30"/>
    </row>
    <row r="11" spans="3:6" ht="18" x14ac:dyDescent="0.35">
      <c r="C11" s="28" t="s">
        <v>54</v>
      </c>
      <c r="D11" s="28"/>
      <c r="E11" s="29">
        <f>COUNTBLANK(Centronum)</f>
        <v>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3:H21"/>
  <sheetViews>
    <sheetView workbookViewId="0">
      <selection activeCell="C2" sqref="C2"/>
    </sheetView>
  </sheetViews>
  <sheetFormatPr baseColWidth="10" defaultRowHeight="15" x14ac:dyDescent="0.25"/>
  <cols>
    <col min="2" max="2" width="7.5703125" customWidth="1"/>
    <col min="3" max="3" width="46.140625" customWidth="1"/>
  </cols>
  <sheetData>
    <row r="13" spans="3:8" ht="19.5" customHeight="1" x14ac:dyDescent="0.3">
      <c r="C13" s="76" t="s">
        <v>98</v>
      </c>
      <c r="D13" s="96" t="s">
        <v>64</v>
      </c>
      <c r="E13" s="96" t="s">
        <v>65</v>
      </c>
      <c r="F13" s="96" t="s">
        <v>66</v>
      </c>
      <c r="G13" s="96" t="s">
        <v>67</v>
      </c>
      <c r="H13" s="96" t="s">
        <v>68</v>
      </c>
    </row>
    <row r="14" spans="3:8" ht="18.75" x14ac:dyDescent="0.3">
      <c r="C14" s="77" t="s">
        <v>99</v>
      </c>
      <c r="D14" s="97"/>
      <c r="E14" s="97"/>
      <c r="F14" s="97"/>
      <c r="G14" s="97"/>
      <c r="H14" s="97"/>
    </row>
    <row r="15" spans="3:8" ht="15.75" x14ac:dyDescent="0.25">
      <c r="C15" s="52" t="s">
        <v>100</v>
      </c>
      <c r="D15" s="79">
        <v>0</v>
      </c>
      <c r="E15" s="80">
        <f>COUNTIF(Deportenum,D15)</f>
        <v>7</v>
      </c>
      <c r="F15" s="81">
        <f>E15/$E$20</f>
        <v>0.05</v>
      </c>
      <c r="G15" s="80">
        <f>E15</f>
        <v>7</v>
      </c>
      <c r="H15" s="82">
        <f>G15/$G$19</f>
        <v>0.05</v>
      </c>
    </row>
    <row r="16" spans="3:8" ht="15.75" x14ac:dyDescent="0.25">
      <c r="C16" s="52" t="s">
        <v>102</v>
      </c>
      <c r="D16" s="83">
        <v>1</v>
      </c>
      <c r="E16" s="84">
        <f>COUNTIF(Deportenum,D16)</f>
        <v>39</v>
      </c>
      <c r="F16" s="85">
        <f t="shared" ref="F16:F20" si="0">E16/$E$20</f>
        <v>0.27857142857142858</v>
      </c>
      <c r="G16" s="84">
        <f>G15+E16</f>
        <v>46</v>
      </c>
      <c r="H16" s="86">
        <f t="shared" ref="H16:H19" si="1">G16/$G$19</f>
        <v>0.32857142857142857</v>
      </c>
    </row>
    <row r="17" spans="3:8" ht="15.75" x14ac:dyDescent="0.25">
      <c r="C17" s="52" t="s">
        <v>101</v>
      </c>
      <c r="D17" s="83">
        <v>2</v>
      </c>
      <c r="E17" s="84">
        <f>COUNTIF(Deportenum,D17)</f>
        <v>49</v>
      </c>
      <c r="F17" s="85">
        <f t="shared" si="0"/>
        <v>0.35</v>
      </c>
      <c r="G17" s="84">
        <f t="shared" ref="G17:G19" si="2">G16+E17</f>
        <v>95</v>
      </c>
      <c r="H17" s="86">
        <f t="shared" si="1"/>
        <v>0.6785714285714286</v>
      </c>
    </row>
    <row r="18" spans="3:8" ht="15.75" x14ac:dyDescent="0.25">
      <c r="C18" s="52" t="s">
        <v>103</v>
      </c>
      <c r="D18" s="83">
        <v>3</v>
      </c>
      <c r="E18" s="84">
        <f>COUNTIF(Deportenum,D18)</f>
        <v>33</v>
      </c>
      <c r="F18" s="85">
        <f t="shared" si="0"/>
        <v>0.23571428571428571</v>
      </c>
      <c r="G18" s="84">
        <f t="shared" si="2"/>
        <v>128</v>
      </c>
      <c r="H18" s="86">
        <f t="shared" si="1"/>
        <v>0.91428571428571426</v>
      </c>
    </row>
    <row r="19" spans="3:8" ht="15.75" x14ac:dyDescent="0.25">
      <c r="C19" s="52" t="s">
        <v>104</v>
      </c>
      <c r="D19" s="87">
        <v>4</v>
      </c>
      <c r="E19" s="88">
        <f>COUNTIF(Deportenum,D19)</f>
        <v>12</v>
      </c>
      <c r="F19" s="89">
        <f t="shared" si="0"/>
        <v>8.5714285714285715E-2</v>
      </c>
      <c r="G19" s="88">
        <f t="shared" si="2"/>
        <v>140</v>
      </c>
      <c r="H19" s="90">
        <f t="shared" si="1"/>
        <v>1</v>
      </c>
    </row>
    <row r="20" spans="3:8" ht="15.75" x14ac:dyDescent="0.25">
      <c r="C20" s="52" t="s">
        <v>53</v>
      </c>
      <c r="E20">
        <f>SUM(E15:E19)</f>
        <v>140</v>
      </c>
      <c r="F20" s="56">
        <f t="shared" si="0"/>
        <v>1</v>
      </c>
      <c r="G20" s="53"/>
      <c r="H20" s="56"/>
    </row>
    <row r="21" spans="3:8" ht="15.75" x14ac:dyDescent="0.25">
      <c r="C21" s="78" t="s">
        <v>54</v>
      </c>
      <c r="E21" s="53">
        <f>COUNTBLANK(Deportenum)</f>
        <v>2</v>
      </c>
      <c r="F21" s="56"/>
      <c r="G21" s="53"/>
      <c r="H21" s="56"/>
    </row>
  </sheetData>
  <mergeCells count="5">
    <mergeCell ref="D13:D14"/>
    <mergeCell ref="E13:E14"/>
    <mergeCell ref="F13:F14"/>
    <mergeCell ref="G13:G14"/>
    <mergeCell ref="H13:H14"/>
  </mergeCells>
  <pageMargins left="0.7" right="0.7" top="0.75" bottom="0.75" header="0.3" footer="0.3"/>
  <pageSetup paperSize="9" orientation="portrait" horizont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N80"/>
  <sheetViews>
    <sheetView tabSelected="1" workbookViewId="0">
      <selection activeCell="B2" sqref="B2"/>
    </sheetView>
  </sheetViews>
  <sheetFormatPr baseColWidth="10" defaultRowHeight="15" x14ac:dyDescent="0.25"/>
  <cols>
    <col min="1" max="1" width="28" customWidth="1"/>
    <col min="2" max="2" width="15.42578125" customWidth="1"/>
    <col min="3" max="3" width="8.5703125" customWidth="1"/>
    <col min="4" max="4" width="14.42578125" customWidth="1"/>
    <col min="5" max="5" width="13.7109375" customWidth="1"/>
    <col min="6" max="6" width="14.42578125" customWidth="1"/>
    <col min="7" max="7" width="15.140625" bestFit="1" customWidth="1"/>
    <col min="8" max="8" width="16" customWidth="1"/>
    <col min="9" max="9" width="16.85546875" customWidth="1"/>
  </cols>
  <sheetData>
    <row r="12" spans="1:14" ht="15.75" x14ac:dyDescent="0.25">
      <c r="A12" s="40"/>
      <c r="B12" s="40"/>
      <c r="C12" s="40"/>
      <c r="D12" s="40"/>
      <c r="E12" s="40"/>
      <c r="F12" s="40"/>
      <c r="G12" s="40"/>
      <c r="H12" s="40"/>
      <c r="I12" s="40"/>
      <c r="J12" s="40"/>
      <c r="K12" s="40"/>
      <c r="L12" s="40"/>
      <c r="M12" s="40"/>
      <c r="N12" s="40"/>
    </row>
    <row r="13" spans="1:14" ht="18" x14ac:dyDescent="0.3">
      <c r="A13" s="40"/>
      <c r="B13" s="40"/>
      <c r="C13" s="40"/>
      <c r="D13" s="44" t="s">
        <v>78</v>
      </c>
      <c r="E13" s="44" t="s">
        <v>79</v>
      </c>
      <c r="F13" s="44" t="s">
        <v>80</v>
      </c>
      <c r="G13" s="44" t="s">
        <v>81</v>
      </c>
      <c r="H13" s="44" t="s">
        <v>82</v>
      </c>
      <c r="I13" s="44" t="s">
        <v>83</v>
      </c>
      <c r="J13" s="44" t="s">
        <v>84</v>
      </c>
      <c r="K13" s="40"/>
    </row>
    <row r="14" spans="1:14" ht="15.75" x14ac:dyDescent="0.25">
      <c r="A14" s="40"/>
      <c r="B14" s="40"/>
      <c r="C14" s="40"/>
      <c r="D14" s="47">
        <f>B15</f>
        <v>0</v>
      </c>
      <c r="E14" s="47">
        <f>D14+$B$20</f>
        <v>7</v>
      </c>
      <c r="F14" s="45">
        <f>(D14+E14)/2</f>
        <v>3.5</v>
      </c>
      <c r="G14" s="45">
        <f t="array" ref="G14:G23">FREQUENCY(Horasred,E14:E22)</f>
        <v>62</v>
      </c>
      <c r="H14" s="46">
        <f>G14/$G$24</f>
        <v>0.45588235294117646</v>
      </c>
      <c r="I14" s="45">
        <f>G14</f>
        <v>62</v>
      </c>
      <c r="J14" s="46">
        <f>I14/$I$23</f>
        <v>0.45588235294117646</v>
      </c>
      <c r="K14" s="40"/>
    </row>
    <row r="15" spans="1:14" ht="15.75" x14ac:dyDescent="0.25">
      <c r="A15" s="43" t="s">
        <v>71</v>
      </c>
      <c r="B15" s="43">
        <f>MIN(Horasred)</f>
        <v>0</v>
      </c>
      <c r="C15" s="40"/>
      <c r="D15" s="47">
        <f>E14</f>
        <v>7</v>
      </c>
      <c r="E15" s="47">
        <f>D15+$B$20</f>
        <v>14</v>
      </c>
      <c r="F15" s="45">
        <f t="shared" ref="F15:F23" si="0">(D15+E15)/2</f>
        <v>10.5</v>
      </c>
      <c r="G15" s="45">
        <v>34</v>
      </c>
      <c r="H15" s="46">
        <f t="shared" ref="H15:H23" si="1">G15/$G$24</f>
        <v>0.25</v>
      </c>
      <c r="I15" s="45">
        <f>I14+G15</f>
        <v>96</v>
      </c>
      <c r="J15" s="46">
        <f t="shared" ref="J15:J23" si="2">I15/$I$23</f>
        <v>0.70588235294117652</v>
      </c>
      <c r="K15" s="40"/>
    </row>
    <row r="16" spans="1:14" ht="15.75" x14ac:dyDescent="0.25">
      <c r="A16" s="43" t="s">
        <v>72</v>
      </c>
      <c r="B16" s="43">
        <f>MAX(Horasred)</f>
        <v>70</v>
      </c>
      <c r="C16" s="40"/>
      <c r="D16" s="47">
        <f t="shared" ref="D16:D23" si="3">E15</f>
        <v>14</v>
      </c>
      <c r="E16" s="47">
        <f t="shared" ref="E16:E23" si="4">D16+$B$20</f>
        <v>21</v>
      </c>
      <c r="F16" s="45">
        <f t="shared" si="0"/>
        <v>17.5</v>
      </c>
      <c r="G16" s="45">
        <v>13</v>
      </c>
      <c r="H16" s="46">
        <f t="shared" si="1"/>
        <v>9.5588235294117641E-2</v>
      </c>
      <c r="I16" s="45">
        <f t="shared" ref="I16:I23" si="5">I15+G16</f>
        <v>109</v>
      </c>
      <c r="J16" s="46">
        <f t="shared" si="2"/>
        <v>0.80147058823529416</v>
      </c>
      <c r="K16" s="40"/>
    </row>
    <row r="17" spans="1:11" ht="15.75" x14ac:dyDescent="0.25">
      <c r="A17" s="43" t="s">
        <v>73</v>
      </c>
      <c r="B17" s="43">
        <f>COUNT(Horasred)</f>
        <v>136</v>
      </c>
      <c r="C17" s="40"/>
      <c r="D17" s="47">
        <f t="shared" si="3"/>
        <v>21</v>
      </c>
      <c r="E17" s="47">
        <f t="shared" si="4"/>
        <v>28</v>
      </c>
      <c r="F17" s="45">
        <f t="shared" si="0"/>
        <v>24.5</v>
      </c>
      <c r="G17" s="45">
        <v>2</v>
      </c>
      <c r="H17" s="46">
        <f t="shared" si="1"/>
        <v>1.4705882352941176E-2</v>
      </c>
      <c r="I17" s="45">
        <f t="shared" si="5"/>
        <v>111</v>
      </c>
      <c r="J17" s="46">
        <f t="shared" si="2"/>
        <v>0.81617647058823528</v>
      </c>
      <c r="K17" s="40"/>
    </row>
    <row r="18" spans="1:11" ht="15.75" x14ac:dyDescent="0.25">
      <c r="A18" s="43"/>
      <c r="B18" s="43"/>
      <c r="C18" s="40"/>
      <c r="D18" s="47">
        <f t="shared" si="3"/>
        <v>28</v>
      </c>
      <c r="E18" s="47">
        <f t="shared" si="4"/>
        <v>35</v>
      </c>
      <c r="F18" s="45">
        <f t="shared" si="0"/>
        <v>31.5</v>
      </c>
      <c r="G18" s="45">
        <v>11</v>
      </c>
      <c r="H18" s="46">
        <f t="shared" si="1"/>
        <v>8.0882352941176475E-2</v>
      </c>
      <c r="I18" s="45">
        <f t="shared" si="5"/>
        <v>122</v>
      </c>
      <c r="J18" s="46">
        <f t="shared" si="2"/>
        <v>0.8970588235294118</v>
      </c>
      <c r="K18" s="40"/>
    </row>
    <row r="19" spans="1:11" ht="15.75" x14ac:dyDescent="0.25">
      <c r="A19" s="43" t="s">
        <v>74</v>
      </c>
      <c r="B19" s="43">
        <v>10</v>
      </c>
      <c r="C19" s="40"/>
      <c r="D19" s="47">
        <f t="shared" si="3"/>
        <v>35</v>
      </c>
      <c r="E19" s="47">
        <f t="shared" si="4"/>
        <v>42</v>
      </c>
      <c r="F19" s="45">
        <f t="shared" si="0"/>
        <v>38.5</v>
      </c>
      <c r="G19" s="45">
        <v>0</v>
      </c>
      <c r="H19" s="46">
        <f t="shared" si="1"/>
        <v>0</v>
      </c>
      <c r="I19" s="45">
        <f t="shared" si="5"/>
        <v>122</v>
      </c>
      <c r="J19" s="46">
        <f t="shared" si="2"/>
        <v>0.8970588235294118</v>
      </c>
      <c r="K19" s="40"/>
    </row>
    <row r="20" spans="1:11" ht="15.75" x14ac:dyDescent="0.25">
      <c r="A20" s="43" t="s">
        <v>75</v>
      </c>
      <c r="B20" s="43">
        <v>7</v>
      </c>
      <c r="C20" s="40"/>
      <c r="D20" s="47">
        <f t="shared" si="3"/>
        <v>42</v>
      </c>
      <c r="E20" s="47">
        <f t="shared" si="4"/>
        <v>49</v>
      </c>
      <c r="F20" s="45">
        <f t="shared" si="0"/>
        <v>45.5</v>
      </c>
      <c r="G20" s="45">
        <v>0</v>
      </c>
      <c r="H20" s="46">
        <f t="shared" si="1"/>
        <v>0</v>
      </c>
      <c r="I20" s="45">
        <f t="shared" si="5"/>
        <v>122</v>
      </c>
      <c r="J20" s="46">
        <f t="shared" si="2"/>
        <v>0.8970588235294118</v>
      </c>
      <c r="K20" s="40"/>
    </row>
    <row r="21" spans="1:11" ht="15.75" x14ac:dyDescent="0.25">
      <c r="A21" s="40"/>
      <c r="B21" s="40"/>
      <c r="C21" s="40"/>
      <c r="D21" s="47">
        <f t="shared" si="3"/>
        <v>49</v>
      </c>
      <c r="E21" s="47">
        <f t="shared" si="4"/>
        <v>56</v>
      </c>
      <c r="F21" s="45">
        <f t="shared" si="0"/>
        <v>52.5</v>
      </c>
      <c r="G21" s="45">
        <v>3</v>
      </c>
      <c r="H21" s="46">
        <f t="shared" si="1"/>
        <v>2.2058823529411766E-2</v>
      </c>
      <c r="I21" s="45">
        <f t="shared" si="5"/>
        <v>125</v>
      </c>
      <c r="J21" s="46">
        <f t="shared" si="2"/>
        <v>0.91911764705882348</v>
      </c>
      <c r="K21" s="40"/>
    </row>
    <row r="22" spans="1:11" ht="15.75" x14ac:dyDescent="0.25">
      <c r="A22" s="40"/>
      <c r="B22" s="40"/>
      <c r="C22" s="40"/>
      <c r="D22" s="47">
        <f t="shared" si="3"/>
        <v>56</v>
      </c>
      <c r="E22" s="47">
        <f t="shared" si="4"/>
        <v>63</v>
      </c>
      <c r="F22" s="45">
        <f t="shared" si="0"/>
        <v>59.5</v>
      </c>
      <c r="G22" s="45">
        <v>1</v>
      </c>
      <c r="H22" s="46">
        <f t="shared" si="1"/>
        <v>7.3529411764705881E-3</v>
      </c>
      <c r="I22" s="45">
        <f t="shared" si="5"/>
        <v>126</v>
      </c>
      <c r="J22" s="46">
        <f t="shared" si="2"/>
        <v>0.92647058823529416</v>
      </c>
      <c r="K22" s="40"/>
    </row>
    <row r="23" spans="1:11" ht="15.75" x14ac:dyDescent="0.25">
      <c r="A23" s="40"/>
      <c r="B23" s="40"/>
      <c r="C23" s="40"/>
      <c r="D23" s="47">
        <f t="shared" si="3"/>
        <v>63</v>
      </c>
      <c r="E23" s="47">
        <f t="shared" si="4"/>
        <v>70</v>
      </c>
      <c r="F23" s="45">
        <f t="shared" si="0"/>
        <v>66.5</v>
      </c>
      <c r="G23" s="45">
        <v>10</v>
      </c>
      <c r="H23" s="46">
        <f t="shared" si="1"/>
        <v>7.3529411764705885E-2</v>
      </c>
      <c r="I23" s="45">
        <f t="shared" si="5"/>
        <v>136</v>
      </c>
      <c r="J23" s="46">
        <f t="shared" si="2"/>
        <v>1</v>
      </c>
      <c r="K23" s="40"/>
    </row>
    <row r="24" spans="1:11" ht="15.75" x14ac:dyDescent="0.25">
      <c r="A24" s="40"/>
      <c r="B24" s="40"/>
      <c r="C24" s="40"/>
      <c r="D24" s="94" t="s">
        <v>76</v>
      </c>
      <c r="E24" s="95"/>
      <c r="F24" s="48"/>
      <c r="G24" s="48">
        <f>SUM(G14:G23)</f>
        <v>136</v>
      </c>
      <c r="H24" s="49">
        <f>SUM(H14:H23)</f>
        <v>0.99999999999999989</v>
      </c>
      <c r="I24" s="48"/>
      <c r="J24" s="48"/>
      <c r="K24" s="40"/>
    </row>
    <row r="25" spans="1:11" ht="15.75" x14ac:dyDescent="0.25">
      <c r="D25" s="98" t="s">
        <v>77</v>
      </c>
      <c r="E25" s="99"/>
      <c r="F25" s="50"/>
      <c r="G25" s="50"/>
      <c r="H25" s="50"/>
      <c r="I25" s="50"/>
      <c r="J25" s="50"/>
    </row>
    <row r="39" spans="2:3" ht="15.75" x14ac:dyDescent="0.25">
      <c r="B39" s="42"/>
      <c r="C39" s="41"/>
    </row>
    <row r="40" spans="2:3" x14ac:dyDescent="0.25">
      <c r="B40" s="38"/>
    </row>
    <row r="71" spans="4:6" x14ac:dyDescent="0.25">
      <c r="D71" s="39"/>
      <c r="E71" s="39"/>
      <c r="F71" s="39"/>
    </row>
    <row r="80" spans="4:6" x14ac:dyDescent="0.25">
      <c r="F80" s="39"/>
    </row>
  </sheetData>
  <mergeCells count="2">
    <mergeCell ref="D24:E24"/>
    <mergeCell ref="D25:E2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16</vt:i4>
      </vt:variant>
    </vt:vector>
  </HeadingPairs>
  <TitlesOfParts>
    <vt:vector size="25" baseType="lpstr">
      <vt:lpstr>Variables</vt:lpstr>
      <vt:lpstr>Datos </vt:lpstr>
      <vt:lpstr>Datos depurados</vt:lpstr>
      <vt:lpstr>Lugar de residencia familiar</vt:lpstr>
      <vt:lpstr>Número de hermanos</vt:lpstr>
      <vt:lpstr>Estaturas</vt:lpstr>
      <vt:lpstr>Centro</vt:lpstr>
      <vt:lpstr>Deporte</vt:lpstr>
      <vt:lpstr>Horasred</vt:lpstr>
      <vt:lpstr>ADSL</vt:lpstr>
      <vt:lpstr>Centronum</vt:lpstr>
      <vt:lpstr>Deporte</vt:lpstr>
      <vt:lpstr>Deportenum</vt:lpstr>
      <vt:lpstr>Estatura</vt:lpstr>
      <vt:lpstr>Estatura_H</vt:lpstr>
      <vt:lpstr>Estatura_M</vt:lpstr>
      <vt:lpstr>Hermanos</vt:lpstr>
      <vt:lpstr>Horasred</vt:lpstr>
      <vt:lpstr>Nota.Bach.</vt:lpstr>
      <vt:lpstr>Notaglobal</vt:lpstr>
      <vt:lpstr>Ordenador</vt:lpstr>
      <vt:lpstr>Peso</vt:lpstr>
      <vt:lpstr>Redsocial</vt:lpstr>
      <vt:lpstr>Residencia</vt:lpstr>
      <vt:lpstr>sexo</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usuario</cp:lastModifiedBy>
  <dcterms:created xsi:type="dcterms:W3CDTF">2014-10-23T09:05:35Z</dcterms:created>
  <dcterms:modified xsi:type="dcterms:W3CDTF">2022-04-25T18:17:43Z</dcterms:modified>
</cp:coreProperties>
</file>
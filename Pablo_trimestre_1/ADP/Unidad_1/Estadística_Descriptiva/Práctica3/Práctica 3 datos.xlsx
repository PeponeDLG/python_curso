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4"/>
    <sheet state="visible" name="Datos " sheetId="2" r:id="rId5"/>
    <sheet state="visible" name="Datos depurados" sheetId="3" r:id="rId6"/>
    <sheet state="visible" name="Número de hermanos" sheetId="4" r:id="rId7"/>
    <sheet state="visible" name="Estaturas " sheetId="5" r:id="rId8"/>
    <sheet state="visible" name="Gasto" sheetId="6" r:id="rId9"/>
    <sheet state="visible" name="Horasred" sheetId="7" r:id="rId10"/>
    <sheet state="visible" name="Hogares" sheetId="8" r:id="rId11"/>
    <sheet state="visible" name="Saldo" sheetId="9" r:id="rId12"/>
  </sheets>
  <definedNames>
    <definedName name="Estatura">'Estaturas '!$B$15:$B$97,'Estaturas '!$D$15:$D$67</definedName>
    <definedName name="Estatura_H">'Estaturas '!$B$15:$B$97</definedName>
    <definedName name="Residencia">'Datos depurados'!$I$2:$I$143</definedName>
    <definedName name="Horasred">'Datos depurados'!$U$2:$U$143</definedName>
    <definedName name="sexo">'Datos depurados'!$B$2:$B$143</definedName>
    <definedName name="Estatura_M">'Estaturas '!$D$15:$D$67</definedName>
    <definedName name="Ordenador">'Datos depurados'!$O$2:$O$143</definedName>
    <definedName name="Hermanos">'Datos depurados'!$H$2:$H$143</definedName>
    <definedName name="Redsocial">'Datos depurados'!$S$2:$S$143</definedName>
    <definedName name="Nota.Bach.">'Datos depurados'!$M$2:$M$143</definedName>
    <definedName name="ADSL">'Datos depurados'!$Q$2:$Q$143</definedName>
    <definedName name="Notaglobal">'Datos depurados'!$N$2:$N$143</definedName>
    <definedName name="Deporte">'Datos depurados'!$F$2:$F$143</definedName>
    <definedName name="Peso">'Datos depurados'!$E$2:$E$143</definedName>
  </definedNames>
  <calcPr/>
  <extLst>
    <ext uri="GoogleSheetsCustomDataVersion2">
      <go:sheetsCustomData xmlns:go="http://customooxmlschemas.google.com/" r:id="rId13" roundtripDataChecksum="fCTUgrLfYHCajbiA2t20yYHjVLbSa7EuUJiGYJTxrGE="/>
    </ext>
  </extLst>
</workbook>
</file>

<file path=xl/sharedStrings.xml><?xml version="1.0" encoding="utf-8"?>
<sst xmlns="http://schemas.openxmlformats.org/spreadsheetml/2006/main" count="2315" uniqueCount="162">
  <si>
    <t>Nº individuo</t>
  </si>
  <si>
    <t>Nº individuo que realiza la encuesta</t>
  </si>
  <si>
    <t>Sexo</t>
  </si>
  <si>
    <t>Sexo ( "Hombre";  "Mujer")</t>
  </si>
  <si>
    <t>Estatura</t>
  </si>
  <si>
    <t>Estatura en cm</t>
  </si>
  <si>
    <t>Peso</t>
  </si>
  <si>
    <t>Peso en Kg</t>
  </si>
  <si>
    <t>Deporte</t>
  </si>
  <si>
    <t>Frecuencia con la que practica deporte ("Nunca"; "Ocasionalmente (1 ó 2 veces por semana); "Frecuentemente (3 a 5 veces a la semana)"; "6 o más veces a la semana")</t>
  </si>
  <si>
    <t>Hermanos</t>
  </si>
  <si>
    <t>Nº hermanos (incluido el alumno)</t>
  </si>
  <si>
    <t>Residencia</t>
  </si>
  <si>
    <t>Lugar de residencia familiar ("Zaragoza capital";  "Zaragoza provincia (excepto Zaragoza capital)"; "Aragón (provincias de Huesca o Teruel)";  "Fuera de Aragón")</t>
  </si>
  <si>
    <t>Centro</t>
  </si>
  <si>
    <t>Tipo de centro en el que ha realizado los estudios a través de los que ha accedido a la Universidad (bachillerato, FP,...)  ( "Público";  "Concertado/Privado")</t>
  </si>
  <si>
    <t>Nota Bach.</t>
  </si>
  <si>
    <t>Nota media del bachillerato (sobre 10)</t>
  </si>
  <si>
    <t>Nota Sel.</t>
  </si>
  <si>
    <t>Nota global de la selectividad (sobre 14)</t>
  </si>
  <si>
    <t>Ordenador</t>
  </si>
  <si>
    <t>Dispone de ordenador personal ( "SI";  "NO")</t>
  </si>
  <si>
    <t>ADSL</t>
  </si>
  <si>
    <t>Dispone de banda ancha (ADSL, Fibra,…) ("SI";  "NO")</t>
  </si>
  <si>
    <t>Red Social</t>
  </si>
  <si>
    <t>Es miembro de alguna red social ("SI";  "NO")</t>
  </si>
  <si>
    <t>Horasred</t>
  </si>
  <si>
    <t>Nº horas semanales actividad en redes sociales</t>
  </si>
  <si>
    <t>Variables auxiliares</t>
  </si>
  <si>
    <t>Sexo(num)</t>
  </si>
  <si>
    <t>0 = Mujer                    1 = Hombre</t>
  </si>
  <si>
    <t>Deporte(num)</t>
  </si>
  <si>
    <t>0 = Nunca                   1 = Ocasionalmente    2 = Regularmente    3 = Frecuentemente    4 = Muy frecuentemente</t>
  </si>
  <si>
    <t>Residencia(num)</t>
  </si>
  <si>
    <t>0 = Zaragoza capital   1 = Zaragoza provincia    2 = Aragón    3 = Fuera de Aragón</t>
  </si>
  <si>
    <t>Centro(num)</t>
  </si>
  <si>
    <t>0 = Público                 1 = Concertado</t>
  </si>
  <si>
    <t>Ordenador(num)</t>
  </si>
  <si>
    <t>0 = No                        1 = Sí</t>
  </si>
  <si>
    <t>ADSL(num)</t>
  </si>
  <si>
    <t>RedSocial(num)</t>
  </si>
  <si>
    <t>Número</t>
  </si>
  <si>
    <t>Nota.Bach.</t>
  </si>
  <si>
    <t>Nota global</t>
  </si>
  <si>
    <t>Hombre</t>
  </si>
  <si>
    <t>Ocasionalmente (menos de 1 vez a la semana)</t>
  </si>
  <si>
    <t>Fuera de Aragón</t>
  </si>
  <si>
    <t>Público</t>
  </si>
  <si>
    <t>Sí</t>
  </si>
  <si>
    <t>Frecuentemente (3 o 4 veces a la semana)</t>
  </si>
  <si>
    <t>Zaragoza capital</t>
  </si>
  <si>
    <t>Concertado/Privado</t>
  </si>
  <si>
    <t>Aragón (provincias de Huesca o Teruel)</t>
  </si>
  <si>
    <t>No</t>
  </si>
  <si>
    <t>Mujer</t>
  </si>
  <si>
    <t>Regularmente (1 o 2 veces a la semana)</t>
  </si>
  <si>
    <t>Muy frecuentemente (5 veces a la semana o más)</t>
  </si>
  <si>
    <t>Zaragoza provincia (excepto Zaragoza capital)</t>
  </si>
  <si>
    <t>Nunca</t>
  </si>
  <si>
    <t>ERRÓNEOS I</t>
  </si>
  <si>
    <t>ERRÓNEOS II</t>
  </si>
  <si>
    <t>AUSENTES</t>
  </si>
  <si>
    <t>Notaglobal</t>
  </si>
  <si>
    <t>RedSocial</t>
  </si>
  <si>
    <t>ELIMINADOS</t>
  </si>
  <si>
    <t>MÍNIMO</t>
  </si>
  <si>
    <t>MÁXIMO</t>
  </si>
  <si>
    <r>
      <rPr>
        <rFont val="Trebuchet MS"/>
        <b/>
        <i/>
        <color rgb="FF800000"/>
        <sz val="12.0"/>
      </rPr>
      <t>x</t>
    </r>
    <r>
      <rPr>
        <rFont val="Trebuchet MS"/>
        <b/>
        <i/>
        <color rgb="FF800000"/>
        <sz val="12.0"/>
        <vertAlign val="subscript"/>
      </rPr>
      <t>i</t>
    </r>
  </si>
  <si>
    <r>
      <rPr>
        <rFont val="Trebuchet MS"/>
        <b/>
        <i/>
        <color rgb="FF800000"/>
        <sz val="12.0"/>
      </rPr>
      <t>n</t>
    </r>
    <r>
      <rPr>
        <rFont val="Trebuchet MS"/>
        <b/>
        <i/>
        <color rgb="FF800000"/>
        <sz val="12.0"/>
        <vertAlign val="subscript"/>
      </rPr>
      <t>i</t>
    </r>
  </si>
  <si>
    <r>
      <rPr>
        <rFont val="Trebuchet MS"/>
        <b/>
        <i/>
        <color rgb="FF800000"/>
        <sz val="12.0"/>
      </rPr>
      <t>f</t>
    </r>
    <r>
      <rPr>
        <rFont val="Trebuchet MS"/>
        <b/>
        <i/>
        <color rgb="FF800000"/>
        <sz val="12.0"/>
        <vertAlign val="subscript"/>
      </rPr>
      <t>i</t>
    </r>
  </si>
  <si>
    <r>
      <rPr>
        <rFont val="Trebuchet MS"/>
        <b/>
        <i/>
        <color rgb="FF800000"/>
        <sz val="12.0"/>
      </rPr>
      <t>N</t>
    </r>
    <r>
      <rPr>
        <rFont val="Trebuchet MS"/>
        <b/>
        <i/>
        <color rgb="FF800000"/>
        <sz val="12.0"/>
        <vertAlign val="subscript"/>
      </rPr>
      <t>i</t>
    </r>
  </si>
  <si>
    <r>
      <rPr>
        <rFont val="Trebuchet MS"/>
        <b/>
        <i/>
        <color rgb="FF800000"/>
        <sz val="12.0"/>
      </rPr>
      <t>F</t>
    </r>
    <r>
      <rPr>
        <rFont val="Trebuchet MS"/>
        <b/>
        <i/>
        <color rgb="FF800000"/>
        <sz val="12.0"/>
        <vertAlign val="subscript"/>
      </rPr>
      <t>i</t>
    </r>
  </si>
  <si>
    <t>xi*ni</t>
  </si>
  <si>
    <t>Total</t>
  </si>
  <si>
    <t>Con funciones de Excel</t>
  </si>
  <si>
    <t>Con la distribución de frecuencias</t>
  </si>
  <si>
    <t xml:space="preserve">POSICIÓN </t>
  </si>
  <si>
    <t>Mediana</t>
  </si>
  <si>
    <t>hermanos</t>
  </si>
  <si>
    <r>
      <rPr>
        <rFont val="Calibri"/>
        <color rgb="FF000000"/>
        <sz val="11.0"/>
      </rPr>
      <t>Porque es el valor donde las F</t>
    </r>
    <r>
      <rPr>
        <rFont val="Calibri"/>
        <color rgb="FF000000"/>
        <sz val="11.0"/>
        <vertAlign val="subscript"/>
      </rPr>
      <t>i</t>
    </r>
    <r>
      <rPr>
        <rFont val="Calibri"/>
        <color rgb="FF000000"/>
        <sz val="11.0"/>
      </rPr>
      <t xml:space="preserve"> alcanzan el 50%</t>
    </r>
  </si>
  <si>
    <t>Cuartil 1</t>
  </si>
  <si>
    <r>
      <rPr>
        <rFont val="Calibri"/>
        <color rgb="FF000000"/>
        <sz val="11.0"/>
      </rPr>
      <t>Porque es el valor donde las F</t>
    </r>
    <r>
      <rPr>
        <rFont val="Calibri"/>
        <color rgb="FF000000"/>
        <sz val="11.0"/>
        <vertAlign val="subscript"/>
      </rPr>
      <t>i</t>
    </r>
    <r>
      <rPr>
        <rFont val="Calibri"/>
        <color rgb="FF000000"/>
        <sz val="11.0"/>
      </rPr>
      <t xml:space="preserve"> alcanzan el 25%</t>
    </r>
  </si>
  <si>
    <t>Cuartil 3</t>
  </si>
  <si>
    <r>
      <rPr>
        <rFont val="Calibri"/>
        <color rgb="FF000000"/>
        <sz val="11.0"/>
      </rPr>
      <t>Porque es el valor donde las F</t>
    </r>
    <r>
      <rPr>
        <rFont val="Calibri"/>
        <color rgb="FF000000"/>
        <sz val="11.0"/>
        <vertAlign val="subscript"/>
      </rPr>
      <t>i</t>
    </r>
    <r>
      <rPr>
        <rFont val="Calibri"/>
        <color rgb="FF000000"/>
        <sz val="11.0"/>
      </rPr>
      <t xml:space="preserve"> alcanzan el 75%</t>
    </r>
  </si>
  <si>
    <t>Media</t>
  </si>
  <si>
    <t>Moda</t>
  </si>
  <si>
    <t>Porque es el valor que presenta mayor frecuencia</t>
  </si>
  <si>
    <t>Li-1</t>
  </si>
  <si>
    <t>Li</t>
  </si>
  <si>
    <t>xi</t>
  </si>
  <si>
    <t>ni (todos)</t>
  </si>
  <si>
    <t>ni (alumnos)</t>
  </si>
  <si>
    <t>ni (alumnas)</t>
  </si>
  <si>
    <t>fi (todos)</t>
  </si>
  <si>
    <t>fi (alumnos)</t>
  </si>
  <si>
    <t>fi (alumnas)</t>
  </si>
  <si>
    <t>ai</t>
  </si>
  <si>
    <t>di(todos)</t>
  </si>
  <si>
    <t>di(os)</t>
  </si>
  <si>
    <t>di(as)</t>
  </si>
  <si>
    <t>Mínimo</t>
  </si>
  <si>
    <t>Máximo</t>
  </si>
  <si>
    <t>Límite inf</t>
  </si>
  <si>
    <t>Límite sup</t>
  </si>
  <si>
    <t>Nº intervalos</t>
  </si>
  <si>
    <t>Amplitud</t>
  </si>
  <si>
    <t>TOTALES</t>
  </si>
  <si>
    <t>Medidas</t>
  </si>
  <si>
    <t>TODOS</t>
  </si>
  <si>
    <t>Alumnos</t>
  </si>
  <si>
    <t>Alumnas</t>
  </si>
  <si>
    <t>unidades</t>
  </si>
  <si>
    <t>cm</t>
  </si>
  <si>
    <t>Percentil 90</t>
  </si>
  <si>
    <t>Gasto en alimentación</t>
  </si>
  <si>
    <t>Número de familias</t>
  </si>
  <si>
    <r>
      <rPr>
        <rFont val="Times New Roman"/>
        <b/>
        <i/>
        <color rgb="FF000000"/>
        <sz val="12.0"/>
      </rPr>
      <t>L</t>
    </r>
    <r>
      <rPr>
        <rFont val="Times New Roman"/>
        <b/>
        <i/>
        <color rgb="FF000000"/>
        <sz val="12.0"/>
        <vertAlign val="subscript"/>
      </rPr>
      <t>i-1</t>
    </r>
  </si>
  <si>
    <r>
      <rPr>
        <rFont val="Times New Roman"/>
        <b/>
        <i/>
        <color rgb="FF000000"/>
        <sz val="12.0"/>
      </rPr>
      <t>L</t>
    </r>
    <r>
      <rPr>
        <rFont val="Times New Roman"/>
        <b/>
        <i/>
        <color rgb="FF000000"/>
        <sz val="12.0"/>
        <vertAlign val="subscript"/>
      </rPr>
      <t>i</t>
    </r>
  </si>
  <si>
    <r>
      <rPr>
        <rFont val="Times New Roman"/>
        <b/>
        <i/>
        <color rgb="FF000000"/>
        <sz val="12.0"/>
      </rPr>
      <t>n</t>
    </r>
    <r>
      <rPr>
        <rFont val="Times New Roman"/>
        <b/>
        <i/>
        <color rgb="FF000000"/>
        <sz val="12.0"/>
        <vertAlign val="subscript"/>
      </rPr>
      <t>i</t>
    </r>
  </si>
  <si>
    <r>
      <rPr>
        <rFont val="Times New Roman"/>
        <b/>
        <i/>
        <color rgb="FF000000"/>
        <sz val="12.0"/>
      </rPr>
      <t>x</t>
    </r>
    <r>
      <rPr>
        <rFont val="Times New Roman"/>
        <b/>
        <i/>
        <color rgb="FF000000"/>
        <sz val="12.0"/>
        <vertAlign val="subscript"/>
      </rPr>
      <t>i</t>
    </r>
  </si>
  <si>
    <r>
      <rPr>
        <rFont val="Times New Roman"/>
        <b/>
        <i/>
        <color rgb="FF000000"/>
        <sz val="12.0"/>
      </rPr>
      <t>N</t>
    </r>
    <r>
      <rPr>
        <rFont val="Times New Roman"/>
        <b/>
        <i/>
        <color rgb="FF000000"/>
        <sz val="12.0"/>
        <vertAlign val="subscript"/>
      </rPr>
      <t>i</t>
    </r>
  </si>
  <si>
    <r>
      <rPr>
        <rFont val="Times New Roman"/>
        <b/>
        <i/>
        <color rgb="FF000000"/>
        <sz val="12.0"/>
      </rPr>
      <t>f</t>
    </r>
    <r>
      <rPr>
        <rFont val="Times New Roman"/>
        <b/>
        <i/>
        <color rgb="FF000000"/>
        <sz val="12.0"/>
        <vertAlign val="subscript"/>
      </rPr>
      <t>i</t>
    </r>
  </si>
  <si>
    <r>
      <rPr>
        <rFont val="Times New Roman"/>
        <b/>
        <i/>
        <color rgb="FF000000"/>
        <sz val="12.0"/>
      </rPr>
      <t>F</t>
    </r>
    <r>
      <rPr>
        <rFont val="Times New Roman"/>
        <b/>
        <i/>
        <color rgb="FF000000"/>
        <sz val="12.0"/>
        <vertAlign val="subscript"/>
      </rPr>
      <t>i</t>
    </r>
  </si>
  <si>
    <r>
      <rPr>
        <rFont val="Times New Roman"/>
        <b/>
        <i/>
        <color rgb="FF000000"/>
        <sz val="12.0"/>
      </rPr>
      <t>a</t>
    </r>
    <r>
      <rPr>
        <rFont val="Times New Roman"/>
        <b/>
        <i/>
        <color rgb="FF000000"/>
        <sz val="12.0"/>
        <vertAlign val="subscript"/>
      </rPr>
      <t>i</t>
    </r>
  </si>
  <si>
    <r>
      <rPr>
        <rFont val="Times New Roman"/>
        <b/>
        <i/>
        <color rgb="FF000000"/>
        <sz val="12.0"/>
      </rPr>
      <t>d</t>
    </r>
    <r>
      <rPr>
        <rFont val="Times New Roman"/>
        <b/>
        <i/>
        <color rgb="FF000000"/>
        <sz val="12.0"/>
        <vertAlign val="subscript"/>
      </rPr>
      <t>i</t>
    </r>
  </si>
  <si>
    <r>
      <rPr>
        <rFont val="Times New Roman"/>
        <b/>
        <i/>
        <color rgb="FF000000"/>
        <sz val="12.0"/>
      </rPr>
      <t>n</t>
    </r>
    <r>
      <rPr>
        <rFont val="Times New Roman"/>
        <b/>
        <i/>
        <color rgb="FF000000"/>
        <sz val="12.0"/>
        <vertAlign val="subscript"/>
      </rPr>
      <t>i</t>
    </r>
    <r>
      <rPr>
        <rFont val="Times New Roman"/>
        <b/>
        <i/>
        <color rgb="FF000000"/>
        <sz val="12.0"/>
      </rPr>
      <t>x</t>
    </r>
    <r>
      <rPr>
        <rFont val="Times New Roman"/>
        <b/>
        <i/>
        <color rgb="FF000000"/>
        <sz val="12.0"/>
        <vertAlign val="subscript"/>
      </rPr>
      <t>i</t>
    </r>
  </si>
  <si>
    <t>Unidades</t>
  </si>
  <si>
    <t>euros</t>
  </si>
  <si>
    <t>Percentil 5</t>
  </si>
  <si>
    <r>
      <rPr>
        <rFont val="Arial"/>
        <b/>
        <i/>
        <color rgb="FF632423"/>
        <sz val="12.0"/>
      </rPr>
      <t>L</t>
    </r>
    <r>
      <rPr>
        <rFont val="Arial"/>
        <b/>
        <i/>
        <color rgb="FF632423"/>
        <sz val="12.0"/>
        <vertAlign val="subscript"/>
      </rPr>
      <t>i-1</t>
    </r>
  </si>
  <si>
    <r>
      <rPr>
        <rFont val="Arial"/>
        <b/>
        <i/>
        <color rgb="FF632423"/>
        <sz val="12.0"/>
      </rPr>
      <t>L</t>
    </r>
    <r>
      <rPr>
        <rFont val="Arial"/>
        <b/>
        <i/>
        <color rgb="FF632423"/>
        <sz val="12.0"/>
        <vertAlign val="subscript"/>
      </rPr>
      <t>i</t>
    </r>
  </si>
  <si>
    <r>
      <rPr>
        <rFont val="Arial"/>
        <b/>
        <i/>
        <color rgb="FF632423"/>
        <sz val="12.0"/>
      </rPr>
      <t>x</t>
    </r>
    <r>
      <rPr>
        <rFont val="Arial"/>
        <b/>
        <i/>
        <color rgb="FF632423"/>
        <sz val="12.0"/>
        <vertAlign val="subscript"/>
      </rPr>
      <t>i</t>
    </r>
  </si>
  <si>
    <r>
      <rPr>
        <rFont val="Arial"/>
        <b/>
        <i/>
        <color rgb="FF632423"/>
        <sz val="12.0"/>
      </rPr>
      <t>n</t>
    </r>
    <r>
      <rPr>
        <rFont val="Arial"/>
        <b/>
        <i/>
        <color rgb="FF632423"/>
        <sz val="12.0"/>
        <vertAlign val="subscript"/>
      </rPr>
      <t>i</t>
    </r>
  </si>
  <si>
    <r>
      <rPr>
        <rFont val="Arial"/>
        <b/>
        <i/>
        <color rgb="FF632423"/>
        <sz val="12.0"/>
      </rPr>
      <t>f</t>
    </r>
    <r>
      <rPr>
        <rFont val="Arial"/>
        <b/>
        <i/>
        <color rgb="FF632423"/>
        <sz val="12.0"/>
        <vertAlign val="subscript"/>
      </rPr>
      <t>i</t>
    </r>
  </si>
  <si>
    <r>
      <rPr>
        <rFont val="Arial"/>
        <b/>
        <i/>
        <color rgb="FF632423"/>
        <sz val="12.0"/>
      </rPr>
      <t>N</t>
    </r>
    <r>
      <rPr>
        <rFont val="Arial"/>
        <b/>
        <i/>
        <color rgb="FF632423"/>
        <sz val="12.0"/>
        <vertAlign val="subscript"/>
      </rPr>
      <t>i</t>
    </r>
  </si>
  <si>
    <r>
      <rPr>
        <rFont val="Arial"/>
        <b/>
        <i/>
        <color rgb="FF632423"/>
        <sz val="12.0"/>
      </rPr>
      <t>F</t>
    </r>
    <r>
      <rPr>
        <rFont val="Arial"/>
        <b/>
        <i/>
        <color rgb="FF632423"/>
        <sz val="12.0"/>
        <vertAlign val="subscript"/>
      </rPr>
      <t>i</t>
    </r>
  </si>
  <si>
    <t>N</t>
  </si>
  <si>
    <t>Número de intervalos</t>
  </si>
  <si>
    <t xml:space="preserve">Amplitud </t>
  </si>
  <si>
    <t>PROMEDIOS</t>
  </si>
  <si>
    <t>Valores</t>
  </si>
  <si>
    <t>UNIDADES</t>
  </si>
  <si>
    <t>horas</t>
  </si>
  <si>
    <t>POSICIÓN</t>
  </si>
  <si>
    <t>Percentil 10</t>
  </si>
  <si>
    <t xml:space="preserve">Tamaño </t>
  </si>
  <si>
    <t xml:space="preserve">Porcentaje de </t>
  </si>
  <si>
    <t>del hogar (personas)</t>
  </si>
  <si>
    <t>Hogares (%)</t>
  </si>
  <si>
    <t>fi%</t>
  </si>
  <si>
    <t>xi*fi</t>
  </si>
  <si>
    <t>Saldo medio trimestral (euros)</t>
  </si>
  <si>
    <t>Nº clientes</t>
  </si>
  <si>
    <t>di</t>
  </si>
  <si>
    <t>Ni</t>
  </si>
  <si>
    <t>Fi</t>
  </si>
  <si>
    <t>0-600</t>
  </si>
  <si>
    <t>600-1200</t>
  </si>
  <si>
    <t>1200-1800</t>
  </si>
  <si>
    <t>1800-3000</t>
  </si>
  <si>
    <t>3000-6000</t>
  </si>
  <si>
    <t>P80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</si>
</sst>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
  </numFmts>
  <fonts count="36">
    <font>
      <sz val="11.0"/>
      <color rgb="FF000000"/>
      <name val="Calibri"/>
      <scheme val="minor"/>
    </font>
    <font>
      <b/>
      <i/>
      <sz val="12.0"/>
      <color rgb="FFFFFFFF"/>
      <name val="Trebuchet MS"/>
    </font>
    <font>
      <b/>
      <sz val="10.0"/>
      <color theme="1"/>
      <name val="Trebuchet MS"/>
    </font>
    <font>
      <b/>
      <sz val="14.0"/>
      <color rgb="FF000000"/>
      <name val="Calibri"/>
    </font>
    <font>
      <sz val="10.0"/>
      <color theme="1"/>
      <name val="Arial"/>
    </font>
    <font>
      <b/>
      <sz val="11.0"/>
      <color rgb="FF000000"/>
      <name val="Calibri"/>
    </font>
    <font>
      <b/>
      <sz val="10.0"/>
      <color rgb="FF000000"/>
      <name val="Arial"/>
    </font>
    <font>
      <sz val="11.0"/>
      <color rgb="FF000000"/>
      <name val="Calibri"/>
    </font>
    <font>
      <sz val="10.0"/>
      <color rgb="FF000000"/>
      <name val="Arial"/>
    </font>
    <font>
      <sz val="12.0"/>
      <color rgb="FF000000"/>
      <name val="Calibri"/>
    </font>
    <font>
      <sz val="12.0"/>
      <color theme="1"/>
      <name val="Calibri"/>
    </font>
    <font>
      <b/>
      <i/>
      <sz val="12.0"/>
      <color rgb="FF800000"/>
      <name val="Trebuchet MS"/>
    </font>
    <font>
      <b/>
      <sz val="12.0"/>
      <color rgb="FF000000"/>
      <name val="Calibri"/>
    </font>
    <font>
      <b/>
      <sz val="11.0"/>
      <color theme="0"/>
      <name val="Calibri"/>
    </font>
    <font/>
    <font>
      <b/>
      <sz val="12.0"/>
      <color theme="0"/>
      <name val="Calibri"/>
    </font>
    <font>
      <b/>
      <i/>
      <sz val="12.0"/>
      <color rgb="FF632423"/>
      <name val="Arial"/>
    </font>
    <font>
      <b/>
      <sz val="12.0"/>
      <color rgb="FFC00000"/>
      <name val="Arial"/>
    </font>
    <font>
      <sz val="12.0"/>
      <color rgb="FF000000"/>
      <name val="Arial"/>
    </font>
    <font>
      <b/>
      <sz val="12.0"/>
      <color rgb="FF000000"/>
      <name val="Arial"/>
    </font>
    <font>
      <sz val="12.0"/>
      <color rgb="FF000000"/>
      <name val="Times New Roman"/>
    </font>
    <font>
      <b/>
      <i/>
      <sz val="12.0"/>
      <color rgb="FF000000"/>
      <name val="Times New Roman"/>
    </font>
    <font>
      <b/>
      <sz val="12.0"/>
      <color rgb="FF000000"/>
      <name val="Times New Roman"/>
    </font>
    <font>
      <i/>
      <sz val="12.0"/>
      <color rgb="FF000000"/>
      <name val="Times New Roman"/>
    </font>
    <font>
      <b/>
      <sz val="12.0"/>
      <color rgb="FF333399"/>
      <name val="Times New Roman"/>
    </font>
    <font>
      <b/>
      <sz val="12.0"/>
      <color theme="0"/>
      <name val="Arial"/>
    </font>
    <font>
      <sz val="14.0"/>
      <color theme="1"/>
      <name val="Trebuchet MS"/>
    </font>
    <font>
      <i/>
      <sz val="12.0"/>
      <color rgb="FF800000"/>
      <name val="Arial"/>
    </font>
    <font>
      <b/>
      <sz val="12.0"/>
      <color rgb="FFFFFFFF"/>
      <name val="Trebuchet MS"/>
    </font>
    <font>
      <b/>
      <sz val="12.0"/>
      <color theme="1"/>
      <name val="Trebuchet MS"/>
    </font>
    <font>
      <b/>
      <sz val="12.0"/>
      <color rgb="FF000000"/>
      <name val="Trebuchet MS"/>
    </font>
    <font>
      <b/>
      <sz val="12.0"/>
      <color theme="1"/>
      <name val="Arial"/>
    </font>
    <font>
      <sz val="12.0"/>
      <color theme="1"/>
      <name val="Arial"/>
    </font>
    <font>
      <color theme="1"/>
      <name val="Calibri"/>
      <scheme val="minor"/>
    </font>
    <font>
      <sz val="12.0"/>
      <color theme="1"/>
      <name val="Times New Roman"/>
    </font>
    <font>
      <b/>
      <sz val="12.0"/>
      <color theme="1"/>
      <name val="Times New Roman"/>
    </font>
  </fonts>
  <fills count="32">
    <fill>
      <patternFill patternType="none"/>
    </fill>
    <fill>
      <patternFill patternType="lightGray"/>
    </fill>
    <fill>
      <patternFill patternType="solid">
        <fgColor rgb="FF3366FF"/>
        <bgColor rgb="FF3366FF"/>
      </patternFill>
    </fill>
    <fill>
      <patternFill patternType="solid">
        <fgColor rgb="FFC6D9F0"/>
        <bgColor rgb="FFC6D9F0"/>
      </patternFill>
    </fill>
    <fill>
      <patternFill patternType="solid">
        <fgColor rgb="FF00B050"/>
        <bgColor rgb="FF00B050"/>
      </patternFill>
    </fill>
    <fill>
      <patternFill patternType="solid">
        <fgColor rgb="FF8DB3E2"/>
        <bgColor rgb="FF8DB3E2"/>
      </patternFill>
    </fill>
    <fill>
      <patternFill patternType="solid">
        <fgColor rgb="FFE5B8B7"/>
        <bgColor rgb="FFE5B8B7"/>
      </patternFill>
    </fill>
    <fill>
      <patternFill patternType="solid">
        <fgColor rgb="FFD99594"/>
        <bgColor rgb="FFD99594"/>
      </patternFill>
    </fill>
    <fill>
      <patternFill patternType="solid">
        <fgColor rgb="FF0070C0"/>
        <bgColor rgb="FF0070C0"/>
      </patternFill>
    </fill>
    <fill>
      <patternFill patternType="solid">
        <fgColor rgb="FFC2D69B"/>
        <bgColor rgb="FFC2D69B"/>
      </patternFill>
    </fill>
    <fill>
      <patternFill patternType="solid">
        <fgColor theme="0"/>
        <bgColor theme="0"/>
      </patternFill>
    </fill>
    <fill>
      <patternFill patternType="solid">
        <fgColor rgb="FFB8CCE4"/>
        <bgColor rgb="FFB8CCE4"/>
      </patternFill>
    </fill>
    <fill>
      <patternFill patternType="solid">
        <fgColor rgb="FF99CCFF"/>
        <bgColor rgb="FF99CCFF"/>
      </patternFill>
    </fill>
    <fill>
      <patternFill patternType="solid">
        <fgColor rgb="FFFFC000"/>
        <bgColor rgb="FFFFC000"/>
      </patternFill>
    </fill>
    <fill>
      <patternFill patternType="solid">
        <fgColor rgb="FFFBD4B4"/>
        <bgColor rgb="FFFBD4B4"/>
      </patternFill>
    </fill>
    <fill>
      <patternFill patternType="solid">
        <fgColor rgb="FF1F497D"/>
        <bgColor rgb="FF1F497D"/>
      </patternFill>
    </fill>
    <fill>
      <patternFill patternType="solid">
        <fgColor rgb="FFD6E3BC"/>
        <bgColor rgb="FFD6E3BC"/>
      </patternFill>
    </fill>
    <fill>
      <patternFill patternType="solid">
        <fgColor rgb="FFA5A5A5"/>
        <bgColor rgb="FFA5A5A5"/>
      </patternFill>
    </fill>
    <fill>
      <patternFill patternType="solid">
        <fgColor rgb="FFF2DBDB"/>
        <bgColor rgb="FFF2DBDB"/>
      </patternFill>
    </fill>
    <fill>
      <patternFill patternType="solid">
        <fgColor rgb="FFE5DFEC"/>
        <bgColor rgb="FFE5DFEC"/>
      </patternFill>
    </fill>
    <fill>
      <patternFill patternType="solid">
        <fgColor rgb="FFFABF8F"/>
        <bgColor rgb="FFFABF8F"/>
      </patternFill>
    </fill>
    <fill>
      <patternFill patternType="solid">
        <fgColor rgb="FF92D050"/>
        <bgColor rgb="FF92D050"/>
      </patternFill>
    </fill>
    <fill>
      <patternFill patternType="solid">
        <fgColor rgb="FFC0C0C0"/>
        <bgColor rgb="FFC0C0C0"/>
      </patternFill>
    </fill>
    <fill>
      <patternFill patternType="solid">
        <fgColor rgb="FF00FF00"/>
        <bgColor rgb="FF00FF00"/>
      </patternFill>
    </fill>
    <fill>
      <patternFill patternType="solid">
        <fgColor rgb="FFFFFFCC"/>
        <bgColor rgb="FFFFFFCC"/>
      </patternFill>
    </fill>
    <fill>
      <patternFill patternType="solid">
        <fgColor rgb="FFFFFF99"/>
        <bgColor rgb="FFFFFF99"/>
      </patternFill>
    </fill>
    <fill>
      <patternFill patternType="solid">
        <fgColor rgb="FF953734"/>
        <bgColor rgb="FF953734"/>
      </patternFill>
    </fill>
    <fill>
      <patternFill patternType="solid">
        <fgColor rgb="FF339966"/>
        <bgColor rgb="FF339966"/>
      </patternFill>
    </fill>
    <fill>
      <patternFill patternType="solid">
        <fgColor rgb="FFDBE5F1"/>
        <bgColor rgb="FFDBE5F1"/>
      </patternFill>
    </fill>
    <fill>
      <patternFill patternType="solid">
        <fgColor rgb="FF0000FF"/>
        <bgColor rgb="FF0000FF"/>
      </patternFill>
    </fill>
    <fill>
      <patternFill patternType="solid">
        <fgColor rgb="FFCCFFCC"/>
        <bgColor rgb="FFCCFFCC"/>
      </patternFill>
    </fill>
    <fill>
      <patternFill patternType="solid">
        <fgColor rgb="FF95B3D7"/>
        <bgColor rgb="FF95B3D7"/>
      </patternFill>
    </fill>
  </fills>
  <borders count="36">
    <border/>
    <border>
      <left style="thin">
        <color rgb="FF000000"/>
      </left>
      <right style="thin">
        <color rgb="FF000000"/>
      </right>
      <top style="thin">
        <color rgb="FF000000"/>
      </top>
      <bottom style="thin">
        <color rgb="FF000000"/>
      </bottom>
    </border>
    <border>
      <left/>
      <right/>
      <top/>
      <bottom/>
    </border>
    <border>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bottom/>
    </border>
    <border>
      <left/>
      <right style="thin">
        <color rgb="FF000000"/>
      </right>
      <top style="thin">
        <color rgb="FF000000"/>
      </top>
      <bottom/>
    </border>
    <border>
      <left/>
      <right style="thin">
        <color rgb="FF000000"/>
      </right>
      <top/>
      <bottom style="thin">
        <color rgb="FF000000"/>
      </bottom>
    </border>
    <border>
      <bottom style="thin">
        <color rgb="FF000000"/>
      </bottom>
    </border>
    <border>
      <left style="thin">
        <color rgb="FF000000"/>
      </left>
      <right/>
      <top style="thin">
        <color rgb="FF000000"/>
      </top>
      <bottom style="thin">
        <color rgb="FF000000"/>
      </bottom>
    </border>
    <border>
      <left style="thin">
        <color rgb="FF000000"/>
      </left>
    </border>
    <border>
      <left style="thin">
        <color rgb="FF000000"/>
      </left>
      <right/>
      <top/>
      <bottom/>
    </border>
    <border>
      <left/>
      <right/>
      <top style="thin">
        <color rgb="FF000000"/>
      </top>
      <bottom/>
    </border>
    <border>
      <left style="thin">
        <color rgb="FF000000"/>
      </left>
      <top/>
      <bottom/>
    </border>
    <border>
      <right style="thin">
        <color rgb="FF000000"/>
      </right>
      <top/>
      <bottom/>
    </border>
    <border>
      <left style="thin">
        <color rgb="FF000000"/>
      </left>
      <right/>
      <top/>
      <bottom style="thin">
        <color rgb="FF000000"/>
      </bottom>
    </border>
    <border>
      <left/>
      <right/>
      <top/>
      <bottom style="thin">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top/>
      <bottom style="medium">
        <color rgb="FF000000"/>
      </bottom>
    </border>
    <border>
      <left/>
      <right/>
      <top/>
      <bottom style="medium">
        <color rgb="FF000000"/>
      </bottom>
    </border>
    <border>
      <left style="thick">
        <color rgb="FF000000"/>
      </left>
      <right style="medium">
        <color rgb="FF000000"/>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left style="thick">
        <color rgb="FF000000"/>
      </left>
      <right style="medium">
        <color rgb="FF000000"/>
      </right>
      <top/>
      <bottom style="medium">
        <color rgb="FF000000"/>
      </bottom>
    </border>
    <border>
      <left/>
      <right style="thick">
        <color rgb="FF000000"/>
      </right>
      <top/>
      <bottom style="medium">
        <color rgb="FF000000"/>
      </bottom>
    </border>
    <border>
      <left style="thick">
        <color rgb="FF000000"/>
      </left>
      <right style="medium">
        <color rgb="FF000000"/>
      </right>
      <top/>
      <bottom style="thick">
        <color rgb="FF000000"/>
      </bottom>
    </border>
    <border>
      <left/>
      <right/>
      <top/>
      <bottom style="thick">
        <color rgb="FF000000"/>
      </bottom>
    </border>
    <border>
      <left style="thin">
        <color rgb="FF000000"/>
      </left>
      <right/>
      <top style="thick">
        <color rgb="FF000000"/>
      </top>
      <bottom style="thick">
        <color rgb="FF000000"/>
      </bottom>
    </border>
    <border>
      <left style="thin">
        <color rgb="FF000000"/>
      </left>
      <right/>
      <top/>
      <bottom style="medium">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3" fontId="2" numFmtId="0" xfId="0" applyAlignment="1" applyBorder="1" applyFill="1" applyFont="1">
      <alignment shrinkToFit="0" vertical="top" wrapText="1"/>
    </xf>
    <xf borderId="0" fillId="0" fontId="3" numFmtId="0" xfId="0" applyFont="1"/>
    <xf borderId="0" fillId="0" fontId="4" numFmtId="0" xfId="0" applyFont="1"/>
    <xf borderId="1" fillId="4" fontId="1" numFmtId="0" xfId="0" applyAlignment="1" applyBorder="1" applyFill="1" applyFont="1">
      <alignment horizontal="left" shrinkToFit="0" vertical="top" wrapText="1"/>
    </xf>
    <xf borderId="1" fillId="5" fontId="5" numFmtId="0" xfId="0" applyAlignment="1" applyBorder="1" applyFill="1" applyFont="1">
      <alignment horizontal="center"/>
    </xf>
    <xf borderId="1" fillId="5" fontId="6" numFmtId="49" xfId="0" applyAlignment="1" applyBorder="1" applyFont="1" applyNumberFormat="1">
      <alignment horizontal="center"/>
    </xf>
    <xf borderId="1" fillId="0" fontId="7" numFmtId="0" xfId="0" applyAlignment="1" applyBorder="1" applyFont="1">
      <alignment horizontal="center"/>
    </xf>
    <xf borderId="1" fillId="0" fontId="8" numFmtId="49" xfId="0" applyAlignment="1" applyBorder="1" applyFont="1" applyNumberFormat="1">
      <alignment horizontal="center" vertical="top"/>
    </xf>
    <xf borderId="1" fillId="6" fontId="8" numFmtId="0" xfId="0" applyAlignment="1" applyBorder="1" applyFill="1" applyFont="1">
      <alignment horizontal="center" vertical="top"/>
    </xf>
    <xf borderId="1" fillId="0" fontId="8" numFmtId="0" xfId="0" applyAlignment="1" applyBorder="1" applyFont="1">
      <alignment horizontal="center" vertical="top"/>
    </xf>
    <xf borderId="1" fillId="7" fontId="8" numFmtId="0" xfId="0" applyAlignment="1" applyBorder="1" applyFill="1" applyFont="1">
      <alignment horizontal="center" vertical="top"/>
    </xf>
    <xf borderId="1" fillId="8" fontId="7" numFmtId="0" xfId="0" applyAlignment="1" applyBorder="1" applyFill="1" applyFont="1">
      <alignment horizontal="center"/>
    </xf>
    <xf borderId="1" fillId="9" fontId="8" numFmtId="0" xfId="0" applyAlignment="1" applyBorder="1" applyFill="1" applyFont="1">
      <alignment horizontal="center" vertical="top"/>
    </xf>
    <xf borderId="1" fillId="7" fontId="6" numFmtId="49" xfId="0" applyAlignment="1" applyBorder="1" applyFont="1" applyNumberFormat="1">
      <alignment horizontal="center" vertical="center"/>
    </xf>
    <xf borderId="1" fillId="7" fontId="7" numFmtId="0" xfId="0" applyAlignment="1" applyBorder="1" applyFont="1">
      <alignment horizontal="center"/>
    </xf>
    <xf borderId="1" fillId="7" fontId="5" numFmtId="0" xfId="0" applyAlignment="1" applyBorder="1" applyFont="1">
      <alignment horizontal="center" vertical="center"/>
    </xf>
    <xf borderId="1" fillId="7" fontId="7" numFmtId="0" xfId="0" applyAlignment="1" applyBorder="1" applyFont="1">
      <alignment horizontal="center" vertical="center"/>
    </xf>
    <xf borderId="1" fillId="9" fontId="6" numFmtId="49" xfId="0" applyAlignment="1" applyBorder="1" applyFont="1" applyNumberFormat="1">
      <alignment horizontal="center" vertical="center"/>
    </xf>
    <xf borderId="1" fillId="9" fontId="7" numFmtId="0" xfId="0" applyAlignment="1" applyBorder="1" applyFont="1">
      <alignment horizontal="center"/>
    </xf>
    <xf borderId="1" fillId="9" fontId="7" numFmtId="0" xfId="0" applyAlignment="1" applyBorder="1" applyFont="1">
      <alignment horizontal="center" vertical="center"/>
    </xf>
    <xf borderId="1" fillId="8" fontId="6" numFmtId="49" xfId="0" applyAlignment="1" applyBorder="1" applyFont="1" applyNumberFormat="1">
      <alignment horizontal="center" vertical="center"/>
    </xf>
    <xf borderId="1" fillId="10" fontId="8" numFmtId="0" xfId="0" applyAlignment="1" applyBorder="1" applyFill="1" applyFont="1">
      <alignment horizontal="center" vertical="top"/>
    </xf>
    <xf borderId="1" fillId="10" fontId="8" numFmtId="49" xfId="0" applyAlignment="1" applyBorder="1" applyFont="1" applyNumberFormat="1">
      <alignment horizontal="center" vertical="top"/>
    </xf>
    <xf borderId="1" fillId="10" fontId="7" numFmtId="0" xfId="0" applyAlignment="1" applyBorder="1" applyFont="1">
      <alignment horizontal="center"/>
    </xf>
    <xf borderId="2" fillId="8" fontId="9" numFmtId="0" xfId="0" applyBorder="1" applyFont="1"/>
    <xf borderId="2" fillId="11" fontId="10" numFmtId="0" xfId="0" applyAlignment="1" applyBorder="1" applyFill="1" applyFont="1">
      <alignment horizontal="center"/>
    </xf>
    <xf borderId="2" fillId="10" fontId="7" numFmtId="0" xfId="0" applyBorder="1" applyFont="1"/>
    <xf borderId="1" fillId="12" fontId="11" numFmtId="0" xfId="0" applyAlignment="1" applyBorder="1" applyFill="1" applyFont="1">
      <alignment horizontal="center"/>
    </xf>
    <xf borderId="0" fillId="0" fontId="9" numFmtId="0" xfId="0" applyFont="1"/>
    <xf borderId="0" fillId="0" fontId="9" numFmtId="10" xfId="0" applyFont="1" applyNumberFormat="1"/>
    <xf borderId="0" fillId="0" fontId="7" numFmtId="0" xfId="0" applyFont="1"/>
    <xf borderId="2" fillId="13" fontId="12" numFmtId="0" xfId="0" applyBorder="1" applyFill="1" applyFont="1"/>
    <xf borderId="2" fillId="14" fontId="9" numFmtId="0" xfId="0" applyBorder="1" applyFill="1" applyFont="1"/>
    <xf borderId="2" fillId="14" fontId="9" numFmtId="10" xfId="0" applyBorder="1" applyFont="1" applyNumberFormat="1"/>
    <xf borderId="3" fillId="15" fontId="13" numFmtId="0" xfId="0" applyAlignment="1" applyBorder="1" applyFill="1" applyFont="1">
      <alignment horizontal="center"/>
    </xf>
    <xf borderId="4" fillId="0" fontId="14" numFmtId="0" xfId="0" applyBorder="1" applyFont="1"/>
    <xf borderId="5" fillId="0" fontId="14" numFmtId="0" xfId="0" applyBorder="1" applyFont="1"/>
    <xf borderId="6" fillId="13" fontId="9" numFmtId="0" xfId="0" applyAlignment="1" applyBorder="1" applyFont="1">
      <alignment horizontal="center" vertical="center"/>
    </xf>
    <xf borderId="7" fillId="0" fontId="14" numFmtId="0" xfId="0" applyBorder="1" applyFont="1"/>
    <xf borderId="8" fillId="0" fontId="14" numFmtId="0" xfId="0" applyBorder="1" applyFont="1"/>
    <xf borderId="1" fillId="8" fontId="15" numFmtId="0" xfId="0" applyBorder="1" applyFont="1"/>
    <xf borderId="1" fillId="16" fontId="12" numFmtId="0" xfId="0" applyAlignment="1" applyBorder="1" applyFill="1" applyFont="1">
      <alignment horizontal="center"/>
    </xf>
    <xf borderId="1" fillId="11" fontId="12" numFmtId="0" xfId="0" applyAlignment="1" applyBorder="1" applyFont="1">
      <alignment horizontal="center"/>
    </xf>
    <xf borderId="0" fillId="0" fontId="7" numFmtId="0" xfId="0" applyAlignment="1" applyFont="1">
      <alignment horizontal="center"/>
    </xf>
    <xf borderId="9" fillId="8" fontId="15" numFmtId="0" xfId="0" applyBorder="1" applyFont="1"/>
    <xf borderId="1" fillId="16" fontId="12" numFmtId="2" xfId="0" applyAlignment="1" applyBorder="1" applyFont="1" applyNumberFormat="1">
      <alignment horizontal="center"/>
    </xf>
    <xf borderId="1" fillId="17" fontId="16" numFmtId="0" xfId="0" applyAlignment="1" applyBorder="1" applyFill="1" applyFont="1">
      <alignment horizontal="center"/>
    </xf>
    <xf borderId="1" fillId="18" fontId="17" numFmtId="0" xfId="0" applyAlignment="1" applyBorder="1" applyFill="1" applyFont="1">
      <alignment horizontal="center" vertical="center"/>
    </xf>
    <xf borderId="1" fillId="0" fontId="18" numFmtId="0" xfId="0" applyAlignment="1" applyBorder="1" applyFont="1">
      <alignment horizontal="center" vertical="center"/>
    </xf>
    <xf borderId="1" fillId="0" fontId="18" numFmtId="0" xfId="0" applyBorder="1" applyFont="1"/>
    <xf borderId="1" fillId="0" fontId="18" numFmtId="0" xfId="0" applyAlignment="1" applyBorder="1" applyFont="1">
      <alignment horizontal="right" readingOrder="0" shrinkToFit="0" vertical="bottom" wrapText="0"/>
    </xf>
    <xf borderId="1" fillId="0" fontId="18" numFmtId="10" xfId="0" applyBorder="1" applyFont="1" applyNumberFormat="1"/>
    <xf borderId="1" fillId="19" fontId="18" numFmtId="0" xfId="0" applyBorder="1" applyFill="1" applyFont="1"/>
    <xf borderId="1" fillId="6" fontId="19" numFmtId="0" xfId="0" applyAlignment="1" applyBorder="1" applyFont="1">
      <alignment horizontal="right"/>
    </xf>
    <xf borderId="1" fillId="6" fontId="19" numFmtId="0" xfId="0" applyBorder="1" applyFont="1"/>
    <xf borderId="1" fillId="20" fontId="18" numFmtId="0" xfId="0" applyBorder="1" applyFill="1" applyFont="1"/>
    <xf borderId="1" fillId="21" fontId="18" numFmtId="0" xfId="0" applyBorder="1" applyFill="1" applyFont="1"/>
    <xf borderId="1" fillId="11" fontId="18" numFmtId="0" xfId="0" applyBorder="1" applyFont="1"/>
    <xf borderId="6" fillId="7" fontId="19" numFmtId="0" xfId="0" applyAlignment="1" applyBorder="1" applyFont="1">
      <alignment horizontal="center"/>
    </xf>
    <xf borderId="1" fillId="7" fontId="19" numFmtId="0" xfId="0" applyAlignment="1" applyBorder="1" applyFont="1">
      <alignment horizontal="center"/>
    </xf>
    <xf borderId="1" fillId="7" fontId="19" numFmtId="0" xfId="0" applyAlignment="1" applyBorder="1" applyFont="1">
      <alignment horizontal="right"/>
    </xf>
    <xf borderId="1" fillId="7" fontId="19" numFmtId="9" xfId="0" applyAlignment="1" applyBorder="1" applyFont="1" applyNumberFormat="1">
      <alignment horizontal="right"/>
    </xf>
    <xf borderId="10" fillId="17" fontId="16" numFmtId="0" xfId="0" applyAlignment="1" applyBorder="1" applyFont="1">
      <alignment horizontal="right"/>
    </xf>
    <xf borderId="11" fillId="17" fontId="16" numFmtId="0" xfId="0" applyAlignment="1" applyBorder="1" applyFont="1">
      <alignment horizontal="right"/>
    </xf>
    <xf borderId="1" fillId="18" fontId="19" numFmtId="0" xfId="0" applyAlignment="1" applyBorder="1" applyFont="1">
      <alignment horizontal="right"/>
    </xf>
    <xf borderId="1" fillId="19" fontId="18" numFmtId="2" xfId="0" applyBorder="1" applyFont="1" applyNumberFormat="1"/>
    <xf borderId="12" fillId="19" fontId="18" numFmtId="0" xfId="0" applyBorder="1" applyFont="1"/>
    <xf borderId="11" fillId="19" fontId="18" numFmtId="0" xfId="0" applyBorder="1" applyFont="1"/>
    <xf borderId="1" fillId="18" fontId="19" numFmtId="164" xfId="0" applyAlignment="1" applyBorder="1" applyFont="1" applyNumberFormat="1">
      <alignment horizontal="right"/>
    </xf>
    <xf borderId="1" fillId="21" fontId="18" numFmtId="2" xfId="0" applyBorder="1" applyFont="1" applyNumberFormat="1"/>
    <xf borderId="1" fillId="11" fontId="18" numFmtId="2" xfId="0" applyBorder="1" applyFont="1" applyNumberFormat="1"/>
    <xf borderId="1" fillId="20" fontId="18" numFmtId="2" xfId="0" applyBorder="1" applyFont="1" applyNumberFormat="1"/>
    <xf borderId="13" fillId="19" fontId="18" numFmtId="0" xfId="0" applyBorder="1" applyFont="1"/>
    <xf borderId="0" fillId="0" fontId="20" numFmtId="0" xfId="0" applyFont="1"/>
    <xf borderId="14" fillId="0" fontId="21" numFmtId="0" xfId="0" applyAlignment="1" applyBorder="1" applyFont="1">
      <alignment horizontal="center"/>
    </xf>
    <xf borderId="14" fillId="0" fontId="14" numFmtId="0" xfId="0" applyBorder="1" applyFont="1"/>
    <xf borderId="14" fillId="0" fontId="21" numFmtId="0" xfId="0" applyBorder="1" applyFont="1"/>
    <xf borderId="1" fillId="22" fontId="21" numFmtId="0" xfId="0" applyAlignment="1" applyBorder="1" applyFill="1" applyFont="1">
      <alignment horizontal="center"/>
    </xf>
    <xf borderId="15" fillId="22" fontId="21" numFmtId="0" xfId="0" applyAlignment="1" applyBorder="1" applyFont="1">
      <alignment horizontal="center"/>
    </xf>
    <xf borderId="1" fillId="23" fontId="20" numFmtId="0" xfId="0" applyAlignment="1" applyBorder="1" applyFill="1" applyFont="1">
      <alignment horizontal="center"/>
    </xf>
    <xf borderId="1" fillId="24" fontId="20" numFmtId="0" xfId="0" applyAlignment="1" applyBorder="1" applyFill="1" applyFont="1">
      <alignment horizontal="center"/>
    </xf>
    <xf borderId="1" fillId="24" fontId="20" numFmtId="9" xfId="0" applyAlignment="1" applyBorder="1" applyFont="1" applyNumberFormat="1">
      <alignment horizontal="center"/>
    </xf>
    <xf borderId="1" fillId="6" fontId="20" numFmtId="9" xfId="0" applyAlignment="1" applyBorder="1" applyFont="1" applyNumberFormat="1">
      <alignment horizontal="center"/>
    </xf>
    <xf borderId="1" fillId="24" fontId="20" numFmtId="164" xfId="0" applyAlignment="1" applyBorder="1" applyFont="1" applyNumberFormat="1">
      <alignment horizontal="center"/>
    </xf>
    <xf borderId="1" fillId="20" fontId="20" numFmtId="164" xfId="0" applyAlignment="1" applyBorder="1" applyFont="1" applyNumberFormat="1">
      <alignment horizontal="center"/>
    </xf>
    <xf borderId="1" fillId="11" fontId="20" numFmtId="9" xfId="0" applyAlignment="1" applyBorder="1" applyFont="1" applyNumberFormat="1">
      <alignment horizontal="center"/>
    </xf>
    <xf borderId="0" fillId="0" fontId="20" numFmtId="0" xfId="0" applyAlignment="1" applyFont="1">
      <alignment horizontal="center"/>
    </xf>
    <xf borderId="1" fillId="24" fontId="22" numFmtId="0" xfId="0" applyAlignment="1" applyBorder="1" applyFont="1">
      <alignment horizontal="center"/>
    </xf>
    <xf borderId="0" fillId="0" fontId="22" numFmtId="0" xfId="0" applyAlignment="1" applyFont="1">
      <alignment horizontal="center"/>
    </xf>
    <xf borderId="1" fillId="24" fontId="22" numFmtId="9" xfId="0" applyAlignment="1" applyBorder="1" applyFont="1" applyNumberFormat="1">
      <alignment horizontal="center"/>
    </xf>
    <xf borderId="0" fillId="0" fontId="22" numFmtId="9" xfId="0" applyAlignment="1" applyFont="1" applyNumberFormat="1">
      <alignment horizontal="center"/>
    </xf>
    <xf borderId="1" fillId="0" fontId="23" numFmtId="0" xfId="0" applyBorder="1" applyFont="1"/>
    <xf borderId="0" fillId="0" fontId="22" numFmtId="0" xfId="0" applyFont="1"/>
    <xf borderId="1" fillId="0" fontId="21" numFmtId="0" xfId="0" applyAlignment="1" applyBorder="1" applyFont="1">
      <alignment horizontal="right"/>
    </xf>
    <xf borderId="15" fillId="25" fontId="24" numFmtId="0" xfId="0" applyAlignment="1" applyBorder="1" applyFill="1" applyFont="1">
      <alignment horizontal="center"/>
    </xf>
    <xf borderId="1" fillId="25" fontId="20" numFmtId="0" xfId="0" applyBorder="1" applyFont="1"/>
    <xf borderId="1" fillId="11" fontId="21" numFmtId="0" xfId="0" applyAlignment="1" applyBorder="1" applyFont="1">
      <alignment horizontal="right"/>
    </xf>
    <xf borderId="1" fillId="11" fontId="24" numFmtId="2" xfId="0" applyAlignment="1" applyBorder="1" applyFont="1" applyNumberFormat="1">
      <alignment horizontal="center"/>
    </xf>
    <xf borderId="1" fillId="20" fontId="21" numFmtId="0" xfId="0" applyAlignment="1" applyBorder="1" applyFont="1">
      <alignment horizontal="right"/>
    </xf>
    <xf borderId="1" fillId="20" fontId="24" numFmtId="2" xfId="0" applyAlignment="1" applyBorder="1" applyFont="1" applyNumberFormat="1">
      <alignment horizontal="center"/>
    </xf>
    <xf borderId="1" fillId="6" fontId="21" numFmtId="0" xfId="0" applyAlignment="1" applyBorder="1" applyFont="1">
      <alignment horizontal="right"/>
    </xf>
    <xf borderId="1" fillId="6" fontId="24" numFmtId="0" xfId="0" applyAlignment="1" applyBorder="1" applyFont="1">
      <alignment horizontal="center"/>
    </xf>
    <xf borderId="0" fillId="0" fontId="22" numFmtId="2" xfId="0" applyAlignment="1" applyFont="1" applyNumberFormat="1">
      <alignment horizontal="right"/>
    </xf>
    <xf borderId="0" fillId="0" fontId="24" numFmtId="0" xfId="0" applyFont="1"/>
    <xf borderId="0" fillId="0" fontId="18" numFmtId="0" xfId="0" applyFont="1"/>
    <xf borderId="1" fillId="0" fontId="17" numFmtId="0" xfId="0" applyAlignment="1" applyBorder="1" applyFont="1">
      <alignment horizontal="center" vertical="center"/>
    </xf>
    <xf borderId="1" fillId="0" fontId="18" numFmtId="10" xfId="0" applyAlignment="1" applyBorder="1" applyFont="1" applyNumberFormat="1">
      <alignment horizontal="center" vertical="center"/>
    </xf>
    <xf borderId="1" fillId="7" fontId="19" numFmtId="9" xfId="0" applyAlignment="1" applyBorder="1" applyFont="1" applyNumberFormat="1">
      <alignment horizontal="center"/>
    </xf>
    <xf borderId="6" fillId="26" fontId="25" numFmtId="0" xfId="0" applyAlignment="1" applyBorder="1" applyFill="1" applyFont="1">
      <alignment horizontal="center"/>
    </xf>
    <xf borderId="1" fillId="26" fontId="13" numFmtId="0" xfId="0" applyAlignment="1" applyBorder="1" applyFont="1">
      <alignment horizontal="center"/>
    </xf>
    <xf borderId="1" fillId="26" fontId="25" numFmtId="0" xfId="0" applyAlignment="1" applyBorder="1" applyFont="1">
      <alignment horizontal="center"/>
    </xf>
    <xf borderId="16" fillId="0" fontId="7" numFmtId="0" xfId="0" applyBorder="1" applyFont="1"/>
    <xf borderId="14" fillId="0" fontId="7" numFmtId="0" xfId="0" applyBorder="1" applyFont="1"/>
    <xf borderId="0" fillId="0" fontId="26" numFmtId="0" xfId="0" applyFont="1"/>
    <xf borderId="9" fillId="2" fontId="27" numFmtId="0" xfId="0" applyAlignment="1" applyBorder="1" applyFont="1">
      <alignment horizontal="center"/>
    </xf>
    <xf borderId="9" fillId="27" fontId="27" numFmtId="0" xfId="0" applyAlignment="1" applyBorder="1" applyFill="1" applyFont="1">
      <alignment horizontal="center"/>
    </xf>
    <xf borderId="17" fillId="28" fontId="7" numFmtId="0" xfId="0" applyBorder="1" applyFill="1" applyFont="1"/>
    <xf borderId="18" fillId="28" fontId="7" numFmtId="0" xfId="0" applyBorder="1" applyFont="1"/>
    <xf borderId="1" fillId="29" fontId="28" numFmtId="0" xfId="0" applyAlignment="1" applyBorder="1" applyFill="1" applyFont="1">
      <alignment horizontal="center"/>
    </xf>
    <xf borderId="1" fillId="30" fontId="29" numFmtId="2" xfId="0" applyAlignment="1" applyBorder="1" applyFill="1" applyFont="1" applyNumberFormat="1">
      <alignment horizontal="center"/>
    </xf>
    <xf borderId="9" fillId="18" fontId="29" numFmtId="164" xfId="0" applyAlignment="1" applyBorder="1" applyFont="1" applyNumberFormat="1">
      <alignment horizontal="center"/>
    </xf>
    <xf borderId="2" fillId="28" fontId="7" numFmtId="0" xfId="0" applyBorder="1" applyFont="1"/>
    <xf borderId="19" fillId="28" fontId="5" numFmtId="0" xfId="0" applyAlignment="1" applyBorder="1" applyFont="1">
      <alignment horizontal="center"/>
    </xf>
    <xf borderId="20" fillId="0" fontId="14" numFmtId="0" xfId="0" applyBorder="1" applyFont="1"/>
    <xf borderId="21" fillId="28" fontId="7" numFmtId="0" xfId="0" applyBorder="1" applyFont="1"/>
    <xf borderId="22" fillId="28" fontId="7" numFmtId="0" xfId="0" applyBorder="1" applyFont="1"/>
    <xf borderId="0" fillId="0" fontId="30" numFmtId="0" xfId="0" applyAlignment="1" applyFont="1">
      <alignment horizontal="right"/>
    </xf>
    <xf borderId="0" fillId="0" fontId="31" numFmtId="0" xfId="0" applyFont="1"/>
    <xf borderId="0" fillId="0" fontId="31" numFmtId="2" xfId="0" applyAlignment="1" applyFont="1" applyNumberFormat="1">
      <alignment horizontal="center"/>
    </xf>
    <xf borderId="0" fillId="0" fontId="30" numFmtId="0" xfId="0" applyFont="1"/>
    <xf borderId="23" fillId="23" fontId="31" numFmtId="0" xfId="0" applyAlignment="1" applyBorder="1" applyFont="1">
      <alignment horizontal="center" shrinkToFit="0" vertical="center" wrapText="1"/>
    </xf>
    <xf borderId="24" fillId="23" fontId="31" numFmtId="0" xfId="0" applyAlignment="1" applyBorder="1" applyFont="1">
      <alignment horizontal="center" shrinkToFit="0" vertical="center" wrapText="1"/>
    </xf>
    <xf borderId="25" fillId="23" fontId="31" numFmtId="0" xfId="0" applyAlignment="1" applyBorder="1" applyFont="1">
      <alignment horizontal="center" shrinkToFit="0" vertical="center" wrapText="1"/>
    </xf>
    <xf borderId="26" fillId="23" fontId="31" numFmtId="0" xfId="0" applyAlignment="1" applyBorder="1" applyFont="1">
      <alignment horizontal="center" shrinkToFit="0" vertical="center" wrapText="1"/>
    </xf>
    <xf borderId="1" fillId="7" fontId="31" numFmtId="0" xfId="0" applyAlignment="1" applyBorder="1" applyFont="1">
      <alignment horizontal="center" shrinkToFit="0" vertical="center" wrapText="1"/>
    </xf>
    <xf borderId="25" fillId="23" fontId="32" numFmtId="0" xfId="0" applyAlignment="1" applyBorder="1" applyFont="1">
      <alignment horizontal="center" shrinkToFit="0" vertical="center" wrapText="1"/>
    </xf>
    <xf borderId="26" fillId="23" fontId="32" numFmtId="0" xfId="0" applyAlignment="1" applyBorder="1" applyFont="1">
      <alignment horizontal="center" shrinkToFit="0" vertical="center" wrapText="1"/>
    </xf>
    <xf borderId="1" fillId="18" fontId="7" numFmtId="0" xfId="0" applyBorder="1" applyFont="1"/>
    <xf borderId="0" fillId="0" fontId="33" numFmtId="0" xfId="0" applyFont="1"/>
    <xf borderId="0" fillId="0" fontId="34" numFmtId="0" xfId="0" applyAlignment="1" applyFont="1">
      <alignment horizontal="center"/>
    </xf>
    <xf borderId="27" fillId="31" fontId="35" numFmtId="0" xfId="0" applyAlignment="1" applyBorder="1" applyFill="1" applyFont="1">
      <alignment horizontal="center" shrinkToFit="0" wrapText="1"/>
    </xf>
    <xf borderId="28" fillId="7" fontId="35" numFmtId="0" xfId="0" applyAlignment="1" applyBorder="1" applyFont="1">
      <alignment horizontal="center" shrinkToFit="0" wrapText="1"/>
    </xf>
    <xf borderId="29" fillId="7" fontId="35" numFmtId="0" xfId="0" applyAlignment="1" applyBorder="1" applyFont="1">
      <alignment horizontal="center" shrinkToFit="0" wrapText="1"/>
    </xf>
    <xf borderId="0" fillId="0" fontId="35" numFmtId="0" xfId="0" applyAlignment="1" applyFont="1">
      <alignment horizontal="center"/>
    </xf>
    <xf borderId="30" fillId="28" fontId="34" numFmtId="0" xfId="0" applyAlignment="1" applyBorder="1" applyFont="1">
      <alignment horizontal="center" shrinkToFit="0" wrapText="1"/>
    </xf>
    <xf borderId="26" fillId="18" fontId="34" numFmtId="0" xfId="0" applyAlignment="1" applyBorder="1" applyFont="1">
      <alignment horizontal="center" shrinkToFit="0" wrapText="1"/>
    </xf>
    <xf borderId="31" fillId="18" fontId="34" numFmtId="0" xfId="0" applyAlignment="1" applyBorder="1" applyFont="1">
      <alignment horizontal="center" shrinkToFit="0" wrapText="1"/>
    </xf>
    <xf borderId="31" fillId="18" fontId="34" numFmtId="165" xfId="0" applyAlignment="1" applyBorder="1" applyFont="1" applyNumberFormat="1">
      <alignment horizontal="center" shrinkToFit="0" wrapText="1"/>
    </xf>
    <xf borderId="31" fillId="18" fontId="34" numFmtId="10" xfId="0" applyAlignment="1" applyBorder="1" applyFont="1" applyNumberFormat="1">
      <alignment horizontal="center" shrinkToFit="0" wrapText="1"/>
    </xf>
    <xf borderId="0" fillId="0" fontId="34" numFmtId="10" xfId="0" applyAlignment="1" applyFont="1" applyNumberFormat="1">
      <alignment horizontal="center"/>
    </xf>
    <xf borderId="0" fillId="0" fontId="35" numFmtId="0" xfId="0" applyAlignment="1" applyFont="1">
      <alignment horizontal="right"/>
    </xf>
    <xf borderId="0" fillId="0" fontId="34" numFmtId="0" xfId="0" applyAlignment="1" applyFont="1">
      <alignment horizontal="left"/>
    </xf>
    <xf borderId="32" fillId="28" fontId="34" numFmtId="0" xfId="0" applyAlignment="1" applyBorder="1" applyFont="1">
      <alignment horizontal="center" shrinkToFit="0" wrapText="1"/>
    </xf>
    <xf borderId="33" fillId="18" fontId="34" numFmtId="0" xfId="0" applyAlignment="1" applyBorder="1" applyFont="1">
      <alignment horizontal="center" shrinkToFit="0" wrapText="1"/>
    </xf>
    <xf borderId="0" fillId="0" fontId="34" numFmtId="0" xfId="0" applyAlignment="1" applyFont="1">
      <alignment horizontal="center" shrinkToFit="0" wrapText="1"/>
    </xf>
    <xf borderId="0" fillId="0" fontId="35" numFmtId="0" xfId="0" applyAlignment="1" applyFont="1">
      <alignment horizontal="right" shrinkToFit="0" wrapText="1"/>
    </xf>
    <xf borderId="34" fillId="7" fontId="35" numFmtId="0" xfId="0" applyAlignment="1" applyBorder="1" applyFont="1">
      <alignment horizontal="center" shrinkToFit="0" wrapText="1"/>
    </xf>
    <xf borderId="35" fillId="18" fontId="34" numFmtId="0" xfId="0" applyAlignment="1" applyBorder="1" applyFont="1">
      <alignment horizontal="center" shrinkToFit="0" wrapText="1"/>
    </xf>
    <xf borderId="0" fillId="0" fontId="34" numFmtId="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del número de hermanos de los estudiantes de 1er curso de GECO</a:t>
            </a:r>
          </a:p>
        </c:rich>
      </c:tx>
      <c:layout>
        <c:manualLayout>
          <c:xMode val="edge"/>
          <c:yMode val="edge"/>
          <c:x val="0.19403936511716752"/>
          <c:y val="0.010554089709762533"/>
        </c:manualLayout>
      </c:layout>
      <c:overlay val="0"/>
    </c:title>
    <c:plotArea>
      <c:layout>
        <c:manualLayout>
          <c:xMode val="edge"/>
          <c:yMode val="edge"/>
          <c:x val="0.18970156140690353"/>
          <c:y val="0.1565539927561825"/>
          <c:w val="0.7769652044912155"/>
          <c:h val="0.6609804777041393"/>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1" i="0">
                    <a:solidFill>
                      <a:srgbClr val="000000"/>
                    </a:solidFill>
                    <a:latin typeface="Calibri"/>
                  </a:defRPr>
                </a:pPr>
              </a:p>
            </c:txPr>
            <c:showLegendKey val="0"/>
            <c:showVal val="1"/>
            <c:showCatName val="0"/>
            <c:showSerName val="0"/>
            <c:showPercent val="0"/>
            <c:showBubbleSize val="0"/>
          </c:dLbls>
          <c:val>
            <c:numRef>
              <c:f>'Número de hermanos'!$D$6:$D$11</c:f>
              <c:numCache/>
            </c:numRef>
          </c:val>
        </c:ser>
        <c:axId val="476900417"/>
        <c:axId val="1309245611"/>
      </c:barChart>
      <c:catAx>
        <c:axId val="47690041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Número de hermanos</a:t>
                </a:r>
              </a:p>
            </c:rich>
          </c:tx>
          <c:layout>
            <c:manualLayout>
              <c:xMode val="edge"/>
              <c:yMode val="edge"/>
              <c:x val="0.36941097987751537"/>
              <c:y val="0.8880767872353686"/>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309245611"/>
      </c:catAx>
      <c:valAx>
        <c:axId val="1309245611"/>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estudiantes</a:t>
                </a:r>
              </a:p>
            </c:rich>
          </c:tx>
          <c:layout>
            <c:manualLayout>
              <c:xMode val="edge"/>
              <c:yMode val="edge"/>
              <c:x val="0.03366903333680643"/>
              <c:y val="0.3744408202272869"/>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900417"/>
      </c:valAx>
    </c:plotArea>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por estatura</a:t>
            </a:r>
          </a:p>
        </c:rich>
      </c:tx>
      <c:overlay val="0"/>
    </c:title>
    <c:plotArea>
      <c:layout/>
      <c:barChart>
        <c:barDir val="col"/>
        <c:ser>
          <c:idx val="0"/>
          <c:order val="0"/>
          <c:spPr>
            <a:solidFill>
              <a:schemeClr val="accent1"/>
            </a:solidFill>
            <a:ln cmpd="sng">
              <a:solidFill>
                <a:srgbClr val="000000"/>
              </a:solidFill>
            </a:ln>
          </c:spPr>
          <c:cat>
            <c:strRef>
              <c:f>'Estaturas '!$I$3:$I$11</c:f>
            </c:strRef>
          </c:cat>
          <c:val>
            <c:numRef>
              <c:f>'Estaturas '!$Q$3:$Q$11</c:f>
              <c:numCache/>
            </c:numRef>
          </c:val>
        </c:ser>
        <c:axId val="1986231216"/>
        <c:axId val="1526916363"/>
      </c:barChart>
      <c:catAx>
        <c:axId val="1986231216"/>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spPr/>
        <c:txPr>
          <a:bodyPr/>
          <a:lstStyle/>
          <a:p>
            <a:pPr lvl="0">
              <a:defRPr b="0">
                <a:solidFill>
                  <a:srgbClr val="000000"/>
                </a:solidFill>
                <a:latin typeface="+mn-lt"/>
              </a:defRPr>
            </a:pPr>
          </a:p>
        </c:txPr>
        <c:crossAx val="1526916363"/>
      </c:catAx>
      <c:valAx>
        <c:axId val="1526916363"/>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986231216"/>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(sólo alumnas) por estatura</a:t>
            </a:r>
          </a:p>
        </c:rich>
      </c:tx>
      <c:overlay val="0"/>
    </c:title>
    <c:plotArea>
      <c:layout/>
      <c:barChart>
        <c:barDir val="col"/>
        <c:ser>
          <c:idx val="0"/>
          <c:order val="0"/>
          <c:spPr>
            <a:solidFill>
              <a:schemeClr val="accent1"/>
            </a:solidFill>
            <a:ln cmpd="sng">
              <a:solidFill>
                <a:srgbClr val="000000"/>
              </a:solidFill>
            </a:ln>
          </c:spPr>
          <c:cat>
            <c:strRef>
              <c:f>'Estaturas '!$I$3:$I$11</c:f>
            </c:strRef>
          </c:cat>
          <c:val>
            <c:numRef>
              <c:f>'Estaturas '!$S$3:$S$11</c:f>
              <c:numCache/>
            </c:numRef>
          </c:val>
        </c:ser>
        <c:axId val="280995825"/>
        <c:axId val="1428869326"/>
      </c:barChart>
      <c:catAx>
        <c:axId val="280995825"/>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spPr/>
        <c:txPr>
          <a:bodyPr/>
          <a:lstStyle/>
          <a:p>
            <a:pPr lvl="0">
              <a:defRPr b="0">
                <a:solidFill>
                  <a:srgbClr val="000000"/>
                </a:solidFill>
                <a:latin typeface="+mn-lt"/>
              </a:defRPr>
            </a:pPr>
          </a:p>
        </c:txPr>
        <c:crossAx val="1428869326"/>
      </c:catAx>
      <c:valAx>
        <c:axId val="1428869326"/>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280995825"/>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(sólo alumnos) por estatura</a:t>
            </a:r>
          </a:p>
        </c:rich>
      </c:tx>
      <c:overlay val="0"/>
    </c:title>
    <c:plotArea>
      <c:layout/>
      <c:barChart>
        <c:barDir val="col"/>
        <c:ser>
          <c:idx val="0"/>
          <c:order val="0"/>
          <c:spPr>
            <a:solidFill>
              <a:schemeClr val="accent1"/>
            </a:solidFill>
            <a:ln cmpd="sng">
              <a:solidFill>
                <a:srgbClr val="000000"/>
              </a:solidFill>
            </a:ln>
          </c:spPr>
          <c:cat>
            <c:strRef>
              <c:f>'Estaturas '!$I$3:$I$11</c:f>
            </c:strRef>
          </c:cat>
          <c:val>
            <c:numRef>
              <c:f>'Estaturas '!$R$3:$R$11</c:f>
              <c:numCache/>
            </c:numRef>
          </c:val>
        </c:ser>
        <c:axId val="482924551"/>
        <c:axId val="1183875902"/>
      </c:barChart>
      <c:catAx>
        <c:axId val="482924551"/>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spPr/>
        <c:txPr>
          <a:bodyPr/>
          <a:lstStyle/>
          <a:p>
            <a:pPr lvl="0">
              <a:defRPr b="0">
                <a:solidFill>
                  <a:srgbClr val="000000"/>
                </a:solidFill>
                <a:latin typeface="+mn-lt"/>
              </a:defRPr>
            </a:pPr>
          </a:p>
        </c:txPr>
        <c:crossAx val="1183875902"/>
      </c:catAx>
      <c:valAx>
        <c:axId val="1183875902"/>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482924551"/>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por estatura</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'Estaturas '!$I$3:$I$11</c:f>
            </c:numRef>
          </c:xVal>
          <c:yVal>
            <c:numRef>
              <c:f>'Estaturas '!$Q$3:$Q$11</c:f>
              <c:numCache/>
            </c:numRef>
          </c:yVal>
        </c:ser>
        <c:dLbls>
          <c:showLegendKey val="0"/>
          <c:showVal val="0"/>
          <c:showCatName val="0"/>
          <c:showSerName val="0"/>
          <c:showPercent val="0"/>
          <c:showBubbleSize val="0"/>
        </c:dLbls>
        <c:axId val="1001081935"/>
        <c:axId val="1843257064"/>
      </c:scatterChart>
      <c:valAx>
        <c:axId val="1001081935"/>
        <c:scaling>
          <c:orientation val="minMax"/>
          <c:max val="195.0"/>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3257064"/>
      </c:valAx>
      <c:valAx>
        <c:axId val="1843257064"/>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001081935"/>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(sólo alumnos) por estatura</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'Estaturas '!$I$3:$I$11</c:f>
            </c:numRef>
          </c:xVal>
          <c:yVal>
            <c:numRef>
              <c:f>'Estaturas '!$R$3:$R$11</c:f>
              <c:numCache/>
            </c:numRef>
          </c:yVal>
        </c:ser>
        <c:dLbls>
          <c:showLegendKey val="0"/>
          <c:showVal val="0"/>
          <c:showCatName val="0"/>
          <c:showSerName val="0"/>
          <c:showPercent val="0"/>
          <c:showBubbleSize val="0"/>
        </c:dLbls>
        <c:axId val="984090470"/>
        <c:axId val="1496315324"/>
      </c:scatterChart>
      <c:valAx>
        <c:axId val="984090470"/>
        <c:scaling>
          <c:orientation val="minMax"/>
          <c:max val="195.0"/>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6315324"/>
      </c:valAx>
      <c:valAx>
        <c:axId val="1496315324"/>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98409047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Distribución estudiantes (sólo alumnas) por estatura</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'Estaturas '!$I$3:$I$11</c:f>
            </c:numRef>
          </c:xVal>
          <c:yVal>
            <c:numRef>
              <c:f>'Estaturas '!$S$3:$S$11</c:f>
              <c:numCache/>
            </c:numRef>
          </c:yVal>
        </c:ser>
        <c:dLbls>
          <c:showLegendKey val="0"/>
          <c:showVal val="0"/>
          <c:showCatName val="0"/>
          <c:showSerName val="0"/>
          <c:showPercent val="0"/>
          <c:showBubbleSize val="0"/>
        </c:dLbls>
        <c:axId val="942687670"/>
        <c:axId val="899863577"/>
      </c:scatterChart>
      <c:valAx>
        <c:axId val="942687670"/>
        <c:scaling>
          <c:orientation val="minMax"/>
          <c:max val="195.0"/>
        </c:scaling>
        <c:delete val="0"/>
        <c:axPos val="b"/>
        <c:title>
          <c:tx>
            <c:rich>
              <a:bodyPr/>
              <a:lstStyle/>
              <a:p>
                <a:pPr lvl="0">
                  <a:defRPr b="1" i="0">
                    <a:solidFill>
                      <a:srgbClr val="000000"/>
                    </a:solidFill>
                    <a:latin typeface="+mn-lt"/>
                  </a:defRPr>
                </a:pPr>
                <a:r>
                  <a:rPr b="1" i="0">
                    <a:solidFill>
                      <a:srgbClr val="000000"/>
                    </a:solidFill>
                    <a:latin typeface="+mn-lt"/>
                  </a:rPr>
                  <a:t>Estatura (en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9863577"/>
      </c:valAx>
      <c:valAx>
        <c:axId val="899863577"/>
        <c:scaling>
          <c:orientation val="minMax"/>
        </c:scaling>
        <c:delete val="0"/>
        <c:axPos val="l"/>
        <c:title>
          <c:tx>
            <c:rich>
              <a:bodyPr/>
              <a:lstStyle/>
              <a:p>
                <a:pPr lvl="0">
                  <a:defRPr b="1" i="0">
                    <a:solidFill>
                      <a:srgbClr val="000000"/>
                    </a:solidFill>
                    <a:latin typeface="+mn-lt"/>
                  </a:defRPr>
                </a:pPr>
                <a:r>
                  <a:rPr b="1" i="0">
                    <a:solidFill>
                      <a:srgbClr val="000000"/>
                    </a:solidFill>
                    <a:latin typeface="+mn-lt"/>
                  </a:rPr>
                  <a:t>% de alumnos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942687670"/>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del número de horas semanales que dedican a las redes sociales los alumnos de primer curso de GECO</a:t>
            </a:r>
          </a:p>
        </c:rich>
      </c:tx>
      <c:overlay val="0"/>
    </c:title>
    <c:plotArea>
      <c:layout/>
      <c:barChart>
        <c:barDir val="col"/>
        <c:ser>
          <c:idx val="0"/>
          <c:order val="0"/>
          <c:spPr>
            <a:solidFill>
              <a:schemeClr val="accent1"/>
            </a:solidFill>
            <a:ln cmpd="sng">
              <a:solidFill>
                <a:srgbClr val="000000"/>
              </a:solidFill>
            </a:ln>
          </c:spPr>
          <c:cat>
            <c:strRef>
              <c:f>Horasred!$F$13:$F$22</c:f>
            </c:strRef>
          </c:cat>
          <c:val>
            <c:numRef>
              <c:f>Horasred!$H$13:$H$22</c:f>
              <c:numCache/>
            </c:numRef>
          </c:val>
        </c:ser>
        <c:axId val="1303281841"/>
        <c:axId val="1398423070"/>
      </c:barChart>
      <c:catAx>
        <c:axId val="1303281841"/>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Número de horas</a:t>
                </a:r>
              </a:p>
            </c:rich>
          </c:tx>
          <c:layout>
            <c:manualLayout>
              <c:xMode val="edge"/>
              <c:yMode val="edge"/>
              <c:x val="0.41433616938822243"/>
              <c:y val="0.9062037630404204"/>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398423070"/>
      </c:catAx>
      <c:valAx>
        <c:axId val="1398423070"/>
        <c:scaling>
          <c:orientation val="minMax"/>
        </c:scaling>
        <c:delete val="0"/>
        <c:axPos val="l"/>
        <c:majorGridlines>
          <c:spPr>
            <a:ln>
              <a:solidFill>
                <a:srgbClr val="B7B7B7"/>
              </a:solidFill>
            </a:ln>
          </c:spPr>
        </c:majorGridlines>
        <c:title>
          <c:tx>
            <c:rich>
              <a:bodyPr/>
              <a:lstStyle/>
              <a:p>
                <a:pPr lvl="0">
                  <a:defRPr b="1" i="0" sz="1100">
                    <a:solidFill>
                      <a:srgbClr val="000000"/>
                    </a:solidFill>
                    <a:latin typeface="+mn-lt"/>
                  </a:defRPr>
                </a:pPr>
                <a:r>
                  <a:rPr b="1" i="0" sz="1100">
                    <a:solidFill>
                      <a:srgbClr val="000000"/>
                    </a:solidFill>
                    <a:latin typeface="+mn-lt"/>
                  </a:rPr>
                  <a:t>% de estudiantes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303281841"/>
      </c:valAx>
    </c:plotArea>
    <c:plotVisOnly val="1"/>
  </c:chart>
  <c:spPr>
    <a:solidFill>
      <a:schemeClr val="accent1"/>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35</xdr:row>
      <xdr:rowOff>9525</xdr:rowOff>
    </xdr:from>
    <xdr:ext cx="5372100" cy="3771900"/>
    <xdr:graphicFrame>
      <xdr:nvGraphicFramePr>
        <xdr:cNvPr id="31074198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704850</xdr:colOff>
      <xdr:row>28</xdr:row>
      <xdr:rowOff>66675</xdr:rowOff>
    </xdr:from>
    <xdr:ext cx="5257800" cy="2876550"/>
    <xdr:graphicFrame>
      <xdr:nvGraphicFramePr>
        <xdr:cNvPr id="85469155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381000</xdr:colOff>
      <xdr:row>28</xdr:row>
      <xdr:rowOff>85725</xdr:rowOff>
    </xdr:from>
    <xdr:ext cx="4924425" cy="2876550"/>
    <xdr:graphicFrame>
      <xdr:nvGraphicFramePr>
        <xdr:cNvPr id="1929351191"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561975</xdr:colOff>
      <xdr:row>28</xdr:row>
      <xdr:rowOff>85725</xdr:rowOff>
    </xdr:from>
    <xdr:ext cx="5895975" cy="2876550"/>
    <xdr:graphicFrame>
      <xdr:nvGraphicFramePr>
        <xdr:cNvPr id="473287153"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733425</xdr:colOff>
      <xdr:row>43</xdr:row>
      <xdr:rowOff>161925</xdr:rowOff>
    </xdr:from>
    <xdr:ext cx="5257800" cy="2886075"/>
    <xdr:graphicFrame>
      <xdr:nvGraphicFramePr>
        <xdr:cNvPr id="1561827618" name="Chart 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561975</xdr:colOff>
      <xdr:row>44</xdr:row>
      <xdr:rowOff>0</xdr:rowOff>
    </xdr:from>
    <xdr:ext cx="5924550" cy="2876550"/>
    <xdr:graphicFrame>
      <xdr:nvGraphicFramePr>
        <xdr:cNvPr id="868191214" name="Chart 6"/>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352425</xdr:colOff>
      <xdr:row>44</xdr:row>
      <xdr:rowOff>9525</xdr:rowOff>
    </xdr:from>
    <xdr:ext cx="4924425" cy="2876550"/>
    <xdr:graphicFrame>
      <xdr:nvGraphicFramePr>
        <xdr:cNvPr id="1264989909" name="Chart 7"/>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28</xdr:row>
      <xdr:rowOff>19050</xdr:rowOff>
    </xdr:from>
    <xdr:ext cx="4962525" cy="3143250"/>
    <xdr:graphicFrame>
      <xdr:nvGraphicFramePr>
        <xdr:cNvPr id="511464509"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0</xdr:row>
      <xdr:rowOff>66675</xdr:rowOff>
    </xdr:from>
    <xdr:ext cx="7848600" cy="1990725"/>
    <xdr:sp>
      <xdr:nvSpPr>
        <xdr:cNvPr id="3" name="Shape 3"/>
        <xdr:cNvSpPr/>
      </xdr:nvSpPr>
      <xdr:spPr>
        <a:xfrm>
          <a:off x="1431225" y="2798925"/>
          <a:ext cx="7829550" cy="1962150"/>
        </a:xfrm>
        <a:prstGeom prst="rect">
          <a:avLst/>
        </a:prstGeom>
        <a:solidFill>
          <a:schemeClr val="accent1"/>
        </a:solidFill>
        <a:ln cap="flat" cmpd="sng" w="25400">
          <a:solidFill>
            <a:srgbClr val="395E89"/>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0"/>
            </a:spcBef>
            <a:spcAft>
              <a:spcPts val="0"/>
            </a:spcAft>
            <a:buNone/>
          </a:pPr>
          <a:r>
            <a:rPr lang="en-US" sz="1400">
              <a:solidFill>
                <a:schemeClr val="lt1"/>
              </a:solidFill>
              <a:latin typeface="Calibri"/>
              <a:ea typeface="Calibri"/>
              <a:cs typeface="Calibri"/>
              <a:sym typeface="Calibri"/>
            </a:rPr>
            <a:t>Contesta a las siguientes preguntas sobre variable </a:t>
          </a:r>
          <a:r>
            <a:rPr i="1" lang="en-US" sz="1400">
              <a:solidFill>
                <a:schemeClr val="lt1"/>
              </a:solidFill>
              <a:latin typeface="Calibri"/>
              <a:ea typeface="Calibri"/>
              <a:cs typeface="Calibri"/>
              <a:sym typeface="Calibri"/>
            </a:rPr>
            <a:t>Horasred </a:t>
          </a:r>
          <a:r>
            <a:rPr lang="en-US" sz="1400">
              <a:solidFill>
                <a:schemeClr val="lt1"/>
              </a:solidFill>
              <a:latin typeface="Calibri"/>
              <a:ea typeface="Calibri"/>
              <a:cs typeface="Calibri"/>
              <a:sym typeface="Calibri"/>
            </a:rPr>
            <a:t>(número de horas semanales destinadas a redes sociales).</a:t>
          </a:r>
          <a:r>
            <a:rPr i="1" lang="en-US" sz="1400">
              <a:solidFill>
                <a:schemeClr val="lt1"/>
              </a:solidFill>
              <a:latin typeface="Calibri"/>
              <a:ea typeface="Calibri"/>
              <a:cs typeface="Calibri"/>
              <a:sym typeface="Calibri"/>
            </a:rPr>
            <a:t> </a:t>
          </a:r>
          <a:endParaRPr sz="1400"/>
        </a:p>
        <a:p>
          <a:pPr indent="0" lvl="0" marL="0" rtl="0" algn="just">
            <a:spcBef>
              <a:spcPts val="600"/>
            </a:spcBef>
            <a:spcAft>
              <a:spcPts val="0"/>
            </a:spcAft>
            <a:buNone/>
          </a:pPr>
          <a:r>
            <a:rPr i="1" lang="en-US" sz="1400">
              <a:solidFill>
                <a:schemeClr val="lt1"/>
              </a:solidFill>
              <a:latin typeface="Calibri"/>
              <a:ea typeface="Calibri"/>
              <a:cs typeface="Calibri"/>
              <a:sym typeface="Calibri"/>
            </a:rPr>
            <a:t>a) </a:t>
          </a:r>
          <a:r>
            <a:rPr lang="en-US" sz="1400">
              <a:solidFill>
                <a:schemeClr val="lt1"/>
              </a:solidFill>
              <a:latin typeface="Calibri"/>
              <a:ea typeface="Calibri"/>
              <a:cs typeface="Calibri"/>
              <a:sym typeface="Calibri"/>
            </a:rPr>
            <a:t> ¿Cómo es la forma (simetría y apuntamiento) de la distribución? </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b)</a:t>
          </a:r>
          <a:r>
            <a:rPr lang="en-US" sz="1400">
              <a:solidFill>
                <a:schemeClr val="lt1"/>
              </a:solidFill>
              <a:latin typeface="Calibri"/>
              <a:ea typeface="Calibri"/>
              <a:cs typeface="Calibri"/>
              <a:sym typeface="Calibri"/>
            </a:rPr>
            <a:t> </a:t>
          </a:r>
          <a:r>
            <a:rPr lang="en-US" sz="1400">
              <a:solidFill>
                <a:schemeClr val="lt1"/>
              </a:solidFill>
              <a:latin typeface="Calibri"/>
              <a:ea typeface="Calibri"/>
              <a:cs typeface="Calibri"/>
              <a:sym typeface="Calibri"/>
            </a:rPr>
            <a:t>  ¿Son coherentes los valores de las medidas de tendencia central (calculadas en la Práctica2) con la forma identificada en el apartado a)? </a:t>
          </a:r>
          <a:endParaRPr sz="1400">
            <a:solidFill>
              <a:schemeClr val="lt1"/>
            </a:solidFill>
            <a:latin typeface="Calibri"/>
            <a:ea typeface="Calibri"/>
            <a:cs typeface="Calibri"/>
            <a:sym typeface="Calibri"/>
          </a:endParaRPr>
        </a:p>
        <a:p>
          <a:pPr indent="0" lvl="0" marL="0" rtl="0" algn="just">
            <a:spcBef>
              <a:spcPts val="600"/>
            </a:spcBef>
            <a:spcAft>
              <a:spcPts val="0"/>
            </a:spcAft>
            <a:buNone/>
          </a:pPr>
          <a:r>
            <a:rPr lang="en-US" sz="1400">
              <a:solidFill>
                <a:schemeClr val="lt1"/>
              </a:solidFill>
              <a:latin typeface="Calibri"/>
              <a:ea typeface="Calibri"/>
              <a:cs typeface="Calibri"/>
              <a:sym typeface="Calibri"/>
            </a:rPr>
            <a:t>c)  Detección de atípicos: obtener los umbrales a partir de los cuales se identifican los datos como atípicos o atípicos extremos y calcular el número de datos atípicos que se presentan en esta variable.</a:t>
          </a:r>
          <a:endParaRPr sz="18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-9525</xdr:rowOff>
    </xdr:from>
    <xdr:ext cx="7658100" cy="2619375"/>
    <xdr:sp>
      <xdr:nvSpPr>
        <xdr:cNvPr id="4" name="Shape 4"/>
        <xdr:cNvSpPr/>
      </xdr:nvSpPr>
      <xdr:spPr>
        <a:xfrm>
          <a:off x="1526475" y="2479838"/>
          <a:ext cx="7639050" cy="2600325"/>
        </a:xfrm>
        <a:prstGeom prst="rect">
          <a:avLst/>
        </a:prstGeom>
        <a:solidFill>
          <a:schemeClr val="accent1"/>
        </a:solidFill>
        <a:ln cap="flat" cmpd="sng" w="25400">
          <a:solidFill>
            <a:srgbClr val="395E89"/>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0"/>
            </a:spcBef>
            <a:spcAft>
              <a:spcPts val="0"/>
            </a:spcAft>
            <a:buNone/>
          </a:pPr>
          <a:r>
            <a:rPr lang="en-US" sz="1400">
              <a:solidFill>
                <a:schemeClr val="lt1"/>
              </a:solidFill>
              <a:latin typeface="Calibri"/>
              <a:ea typeface="Calibri"/>
              <a:cs typeface="Calibri"/>
              <a:sym typeface="Calibri"/>
            </a:rPr>
            <a:t>En los datos censales del INE relativos al tamaño de los hogares en España en 2015, se recoge la  distribución porcentual que aparece en la tabla inferior:</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a) Analiza numéricamente la representatividad del valor medio de la variable. </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b) Sabiendo que en 2015 el tamaño medio de los hogares en Europa fue de 2,3 personas con una desviación de 1,83, concluye si el tamaño de los hogares españoles es más heterogéneo que el de los europeos.</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c) En 2015, ¿qué fue más atípico, un hogar de 6 personas en España o en Europa?</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d) Se sabe que el gasto por persona anual en el 2015 fue de 10960 euros aproximadamente. ¿Cuál fue el gasto medio anual por hogar?</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-9525</xdr:rowOff>
    </xdr:from>
    <xdr:ext cx="7848600" cy="1266825"/>
    <xdr:sp>
      <xdr:nvSpPr>
        <xdr:cNvPr id="5" name="Shape 5"/>
        <xdr:cNvSpPr/>
      </xdr:nvSpPr>
      <xdr:spPr>
        <a:xfrm>
          <a:off x="1431225" y="3156113"/>
          <a:ext cx="7829550" cy="1247775"/>
        </a:xfrm>
        <a:prstGeom prst="rect">
          <a:avLst/>
        </a:prstGeom>
        <a:solidFill>
          <a:schemeClr val="accent1"/>
        </a:solidFill>
        <a:ln cap="flat" cmpd="sng" w="25400">
          <a:solidFill>
            <a:srgbClr val="395E89"/>
          </a:solidFill>
          <a:prstDash val="solid"/>
          <a:round/>
          <a:headEnd len="sm" w="sm" type="none"/>
          <a:tailEnd len="sm" w="sm" type="none"/>
        </a:ln>
      </xdr:spPr>
      <xdr:txBody>
        <a:bodyPr anchorCtr="0" anchor="t" bIns="45700" lIns="91425" spcFirstLastPara="1" rIns="91425" wrap="square" tIns="45700">
          <a:noAutofit/>
        </a:bodyPr>
        <a:lstStyle/>
        <a:p>
          <a:pPr indent="0" lvl="0" marL="0" rtl="0" algn="just">
            <a:spcBef>
              <a:spcPts val="0"/>
            </a:spcBef>
            <a:spcAft>
              <a:spcPts val="0"/>
            </a:spcAft>
            <a:buNone/>
          </a:pPr>
          <a:r>
            <a:rPr lang="en-US" sz="1400">
              <a:solidFill>
                <a:schemeClr val="lt1"/>
              </a:solidFill>
              <a:latin typeface="Calibri"/>
              <a:ea typeface="Calibri"/>
              <a:cs typeface="Calibri"/>
              <a:sym typeface="Calibri"/>
            </a:rPr>
            <a:t>Los 75 clientes de una sucursal bancaria presentan los saldos trimestrales (en euros) en sus cuentas corrientes o de ahorro que aparecen en la tabla inferior: </a:t>
          </a:r>
          <a:endParaRPr sz="1400"/>
        </a:p>
        <a:p>
          <a:pPr indent="0" lvl="0" marL="0" rtl="0" algn="just">
            <a:spcBef>
              <a:spcPts val="600"/>
            </a:spcBef>
            <a:spcAft>
              <a:spcPts val="0"/>
            </a:spcAft>
            <a:buNone/>
          </a:pPr>
          <a:r>
            <a:rPr lang="en-US" sz="1400">
              <a:solidFill>
                <a:schemeClr val="lt1"/>
              </a:solidFill>
              <a:latin typeface="Calibri"/>
              <a:ea typeface="Calibri"/>
              <a:cs typeface="Calibri"/>
              <a:sym typeface="Calibri"/>
            </a:rPr>
            <a:t>a) Estudia la representatividad de la media.</a:t>
          </a:r>
          <a:endParaRPr sz="1400">
            <a:solidFill>
              <a:schemeClr val="lt1"/>
            </a:solidFill>
            <a:latin typeface="Calibri"/>
            <a:ea typeface="Calibri"/>
            <a:cs typeface="Calibri"/>
            <a:sym typeface="Calibri"/>
          </a:endParaRPr>
        </a:p>
        <a:p>
          <a:pPr indent="0" lvl="0" marL="0" rtl="0" algn="just">
            <a:spcBef>
              <a:spcPts val="600"/>
            </a:spcBef>
            <a:spcAft>
              <a:spcPts val="0"/>
            </a:spcAft>
            <a:buNone/>
          </a:pPr>
          <a:r>
            <a:rPr lang="en-US" sz="1400">
              <a:solidFill>
                <a:schemeClr val="lt1"/>
              </a:solidFill>
              <a:latin typeface="Calibri"/>
              <a:ea typeface="Calibri"/>
              <a:cs typeface="Calibri"/>
              <a:sym typeface="Calibri"/>
            </a:rPr>
            <a:t>b) Estudia la forma gráficamente</a:t>
          </a:r>
          <a:r>
            <a:rPr lang="en-US" sz="1100">
              <a:solidFill>
                <a:schemeClr val="lt1"/>
              </a:solidFill>
              <a:latin typeface="Calibri"/>
              <a:ea typeface="Calibri"/>
              <a:cs typeface="Calibri"/>
              <a:sym typeface="Calibri"/>
            </a:rPr>
            <a:t>.</a:t>
          </a:r>
          <a:endParaRPr sz="1100">
            <a:solidFill>
              <a:schemeClr val="lt1"/>
            </a:solidFill>
            <a:latin typeface="Calibri"/>
            <a:ea typeface="Calibri"/>
            <a:cs typeface="Calibri"/>
            <a:sym typeface="Calibri"/>
          </a:endParaRPr>
        </a:p>
        <a:p>
          <a:pPr indent="0" lvl="0" marL="0" rtl="0" algn="just">
            <a:spcBef>
              <a:spcPts val="600"/>
            </a:spcBef>
            <a:spcAft>
              <a:spcPts val="0"/>
            </a:spcAft>
            <a:buNone/>
          </a:pPr>
          <a:r>
            <a:rPr lang="en-US" sz="1400">
              <a:solidFill>
                <a:schemeClr val="lt1"/>
              </a:solidFill>
              <a:latin typeface="Calibri"/>
              <a:ea typeface="Calibri"/>
              <a:cs typeface="Calibri"/>
              <a:sym typeface="Calibri"/>
            </a:rPr>
            <a:t>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127.29"/>
    <col customWidth="1" min="3" max="26" width="10.71"/>
  </cols>
  <sheetData>
    <row r="3">
      <c r="A3" s="1" t="s">
        <v>0</v>
      </c>
      <c r="B3" s="2" t="s">
        <v>1</v>
      </c>
    </row>
    <row r="4">
      <c r="A4" s="1" t="s">
        <v>2</v>
      </c>
      <c r="B4" s="2" t="s">
        <v>3</v>
      </c>
    </row>
    <row r="5">
      <c r="A5" s="1" t="s">
        <v>4</v>
      </c>
      <c r="B5" s="2" t="s">
        <v>5</v>
      </c>
    </row>
    <row r="6">
      <c r="A6" s="1" t="s">
        <v>6</v>
      </c>
      <c r="B6" s="2" t="s">
        <v>7</v>
      </c>
    </row>
    <row r="7">
      <c r="A7" s="1" t="s">
        <v>8</v>
      </c>
      <c r="B7" s="2" t="s">
        <v>9</v>
      </c>
    </row>
    <row r="8">
      <c r="A8" s="1" t="s">
        <v>10</v>
      </c>
      <c r="B8" s="2" t="s">
        <v>11</v>
      </c>
    </row>
    <row r="9">
      <c r="A9" s="1" t="s">
        <v>12</v>
      </c>
      <c r="B9" s="2" t="s">
        <v>13</v>
      </c>
    </row>
    <row r="10">
      <c r="A10" s="1" t="s">
        <v>14</v>
      </c>
      <c r="B10" s="2" t="s">
        <v>15</v>
      </c>
    </row>
    <row r="11">
      <c r="A11" s="1" t="s">
        <v>16</v>
      </c>
      <c r="B11" s="2" t="s">
        <v>17</v>
      </c>
    </row>
    <row r="12">
      <c r="A12" s="1" t="s">
        <v>18</v>
      </c>
      <c r="B12" s="2" t="s">
        <v>19</v>
      </c>
    </row>
    <row r="13">
      <c r="A13" s="1" t="s">
        <v>20</v>
      </c>
      <c r="B13" s="2" t="s">
        <v>21</v>
      </c>
    </row>
    <row r="14">
      <c r="A14" s="1" t="s">
        <v>22</v>
      </c>
      <c r="B14" s="2" t="s">
        <v>23</v>
      </c>
    </row>
    <row r="15">
      <c r="A15" s="1" t="s">
        <v>24</v>
      </c>
      <c r="B15" s="2" t="s">
        <v>25</v>
      </c>
    </row>
    <row r="16">
      <c r="A16" s="1" t="s">
        <v>26</v>
      </c>
      <c r="B16" s="2" t="s">
        <v>27</v>
      </c>
    </row>
    <row r="18">
      <c r="A18" s="3" t="s">
        <v>28</v>
      </c>
      <c r="B18" s="4"/>
    </row>
    <row r="19">
      <c r="A19" s="5" t="s">
        <v>29</v>
      </c>
      <c r="B19" s="2" t="s">
        <v>30</v>
      </c>
    </row>
    <row r="20">
      <c r="A20" s="5" t="s">
        <v>31</v>
      </c>
      <c r="B20" s="2" t="s">
        <v>32</v>
      </c>
    </row>
    <row r="21" ht="15.75" customHeight="1">
      <c r="A21" s="5" t="s">
        <v>33</v>
      </c>
      <c r="B21" s="2" t="s">
        <v>34</v>
      </c>
    </row>
    <row r="22" ht="15.75" customHeight="1">
      <c r="A22" s="5" t="s">
        <v>35</v>
      </c>
      <c r="B22" s="2" t="s">
        <v>36</v>
      </c>
    </row>
    <row r="23" ht="15.75" customHeight="1">
      <c r="A23" s="5" t="s">
        <v>37</v>
      </c>
      <c r="B23" s="2" t="s">
        <v>38</v>
      </c>
    </row>
    <row r="24" ht="15.75" customHeight="1">
      <c r="A24" s="5" t="s">
        <v>39</v>
      </c>
      <c r="B24" s="2" t="s">
        <v>38</v>
      </c>
    </row>
    <row r="25" ht="15.75" customHeight="1">
      <c r="A25" s="5" t="s">
        <v>40</v>
      </c>
      <c r="B25" s="2" t="s">
        <v>38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7.29"/>
    <col customWidth="1" min="3" max="3" width="15.57"/>
    <col customWidth="1" min="4" max="4" width="9.14"/>
    <col customWidth="1" min="5" max="5" width="43.14"/>
    <col customWidth="1" min="6" max="6" width="12.29"/>
    <col customWidth="1" min="7" max="7" width="39.43"/>
    <col customWidth="1" min="8" max="8" width="17.14"/>
    <col customWidth="1" min="9" max="9" width="13.57"/>
    <col customWidth="1" min="10" max="10" width="14.29"/>
    <col customWidth="1" min="11" max="11" width="10.71"/>
    <col customWidth="1" min="12" max="12" width="8.43"/>
    <col customWidth="1" min="13" max="13" width="10.86"/>
    <col customWidth="1" min="14" max="26" width="9.14"/>
  </cols>
  <sheetData>
    <row r="1">
      <c r="A1" s="6" t="s">
        <v>41</v>
      </c>
      <c r="B1" s="7" t="s">
        <v>2</v>
      </c>
      <c r="C1" s="7" t="s">
        <v>4</v>
      </c>
      <c r="D1" s="7" t="s">
        <v>6</v>
      </c>
      <c r="E1" s="7" t="s">
        <v>8</v>
      </c>
      <c r="F1" s="7" t="s">
        <v>10</v>
      </c>
      <c r="G1" s="7" t="s">
        <v>12</v>
      </c>
      <c r="H1" s="7" t="s">
        <v>14</v>
      </c>
      <c r="I1" s="7" t="s">
        <v>42</v>
      </c>
      <c r="J1" s="7" t="s">
        <v>43</v>
      </c>
      <c r="K1" s="7" t="s">
        <v>20</v>
      </c>
      <c r="L1" s="7" t="s">
        <v>22</v>
      </c>
      <c r="M1" s="7" t="s">
        <v>24</v>
      </c>
      <c r="N1" s="7" t="s">
        <v>26</v>
      </c>
    </row>
    <row r="2">
      <c r="A2" s="8">
        <v>1.0</v>
      </c>
      <c r="B2" s="9" t="s">
        <v>44</v>
      </c>
      <c r="C2" s="10">
        <v>0.0</v>
      </c>
      <c r="D2" s="10">
        <v>0.0</v>
      </c>
      <c r="E2" s="9" t="s">
        <v>45</v>
      </c>
      <c r="F2" s="10">
        <v>0.0</v>
      </c>
      <c r="G2" s="9" t="s">
        <v>46</v>
      </c>
      <c r="H2" s="9" t="s">
        <v>47</v>
      </c>
      <c r="I2" s="10">
        <v>0.0</v>
      </c>
      <c r="J2" s="10">
        <v>0.0</v>
      </c>
      <c r="K2" s="9" t="s">
        <v>48</v>
      </c>
      <c r="L2" s="9" t="s">
        <v>48</v>
      </c>
      <c r="M2" s="9" t="s">
        <v>48</v>
      </c>
      <c r="N2" s="10">
        <v>0.0</v>
      </c>
    </row>
    <row r="3">
      <c r="A3" s="8">
        <v>2.0</v>
      </c>
      <c r="B3" s="9" t="s">
        <v>44</v>
      </c>
      <c r="C3" s="10">
        <v>0.0</v>
      </c>
      <c r="D3" s="10">
        <v>0.0</v>
      </c>
      <c r="E3" s="9" t="s">
        <v>49</v>
      </c>
      <c r="F3" s="10">
        <v>0.0</v>
      </c>
      <c r="G3" s="9" t="s">
        <v>50</v>
      </c>
      <c r="H3" s="9" t="s">
        <v>51</v>
      </c>
      <c r="I3" s="10">
        <v>0.0</v>
      </c>
      <c r="J3" s="10">
        <v>0.0</v>
      </c>
      <c r="K3" s="9" t="s">
        <v>48</v>
      </c>
      <c r="L3" s="9" t="s">
        <v>48</v>
      </c>
      <c r="M3" s="9" t="s">
        <v>48</v>
      </c>
      <c r="N3" s="10">
        <v>0.0</v>
      </c>
    </row>
    <row r="4">
      <c r="A4" s="8">
        <v>3.0</v>
      </c>
      <c r="B4" s="9" t="s">
        <v>44</v>
      </c>
      <c r="C4" s="10">
        <v>0.0</v>
      </c>
      <c r="D4" s="10">
        <v>0.0</v>
      </c>
      <c r="E4" s="9" t="s">
        <v>49</v>
      </c>
      <c r="F4" s="10">
        <v>0.0</v>
      </c>
      <c r="G4" s="9" t="s">
        <v>52</v>
      </c>
      <c r="H4" s="9" t="s">
        <v>47</v>
      </c>
      <c r="I4" s="10">
        <v>0.0</v>
      </c>
      <c r="J4" s="10">
        <v>0.0</v>
      </c>
      <c r="K4" s="9" t="s">
        <v>48</v>
      </c>
      <c r="L4" s="9" t="s">
        <v>53</v>
      </c>
      <c r="M4" s="9" t="s">
        <v>48</v>
      </c>
      <c r="N4" s="10">
        <v>0.0</v>
      </c>
    </row>
    <row r="5">
      <c r="A5" s="8">
        <v>4.0</v>
      </c>
      <c r="B5" s="9" t="s">
        <v>54</v>
      </c>
      <c r="C5" s="11">
        <v>162.0</v>
      </c>
      <c r="D5" s="11">
        <v>52.5</v>
      </c>
      <c r="E5" s="9" t="s">
        <v>55</v>
      </c>
      <c r="F5" s="11">
        <v>4.0</v>
      </c>
      <c r="G5" s="9" t="s">
        <v>50</v>
      </c>
      <c r="H5" s="9" t="s">
        <v>47</v>
      </c>
      <c r="I5" s="11">
        <v>9.0</v>
      </c>
      <c r="J5" s="11">
        <v>11.0</v>
      </c>
      <c r="K5" s="9" t="s">
        <v>48</v>
      </c>
      <c r="L5" s="9" t="s">
        <v>48</v>
      </c>
      <c r="M5" s="9" t="s">
        <v>53</v>
      </c>
      <c r="N5" s="11">
        <v>0.0</v>
      </c>
    </row>
    <row r="6">
      <c r="A6" s="8">
        <v>5.0</v>
      </c>
      <c r="B6" s="9" t="s">
        <v>44</v>
      </c>
      <c r="C6" s="11">
        <v>182.0</v>
      </c>
      <c r="D6" s="11">
        <v>76.0</v>
      </c>
      <c r="E6" s="9" t="s">
        <v>49</v>
      </c>
      <c r="F6" s="11">
        <v>2.0</v>
      </c>
      <c r="G6" s="9" t="s">
        <v>52</v>
      </c>
      <c r="H6" s="9" t="s">
        <v>47</v>
      </c>
      <c r="I6" s="11">
        <v>7.0</v>
      </c>
      <c r="J6" s="11">
        <v>7.0</v>
      </c>
      <c r="K6" s="9" t="s">
        <v>48</v>
      </c>
      <c r="L6" s="9" t="s">
        <v>48</v>
      </c>
      <c r="M6" s="9" t="s">
        <v>48</v>
      </c>
      <c r="N6" s="11">
        <v>10.0</v>
      </c>
    </row>
    <row r="7">
      <c r="A7" s="8">
        <v>6.0</v>
      </c>
      <c r="B7" s="9" t="s">
        <v>44</v>
      </c>
      <c r="C7" s="11">
        <v>185.0</v>
      </c>
      <c r="D7" s="11">
        <v>84.0</v>
      </c>
      <c r="E7" s="9" t="s">
        <v>56</v>
      </c>
      <c r="F7" s="11">
        <v>2.0</v>
      </c>
      <c r="G7" s="9" t="s">
        <v>50</v>
      </c>
      <c r="H7" s="9" t="s">
        <v>47</v>
      </c>
      <c r="I7" s="11">
        <v>6.0</v>
      </c>
      <c r="J7" s="12">
        <v>0.0</v>
      </c>
      <c r="K7" s="9" t="s">
        <v>48</v>
      </c>
      <c r="L7" s="9" t="s">
        <v>48</v>
      </c>
      <c r="M7" s="9" t="s">
        <v>48</v>
      </c>
      <c r="N7" s="11">
        <v>2.0</v>
      </c>
    </row>
    <row r="8">
      <c r="A8" s="8">
        <v>7.0</v>
      </c>
      <c r="B8" s="9" t="s">
        <v>44</v>
      </c>
      <c r="C8" s="11">
        <v>170.0</v>
      </c>
      <c r="D8" s="11">
        <v>60.0</v>
      </c>
      <c r="E8" s="9" t="s">
        <v>45</v>
      </c>
      <c r="F8" s="11">
        <v>3.0</v>
      </c>
      <c r="G8" s="9" t="s">
        <v>50</v>
      </c>
      <c r="H8" s="9" t="s">
        <v>47</v>
      </c>
      <c r="I8" s="11">
        <v>8.0</v>
      </c>
      <c r="J8" s="11">
        <v>8.0</v>
      </c>
      <c r="K8" s="9" t="s">
        <v>48</v>
      </c>
      <c r="L8" s="9" t="s">
        <v>48</v>
      </c>
      <c r="M8" s="9" t="s">
        <v>48</v>
      </c>
      <c r="N8" s="11">
        <v>30.0</v>
      </c>
    </row>
    <row r="9">
      <c r="A9" s="8">
        <v>8.0</v>
      </c>
      <c r="B9" s="9" t="s">
        <v>54</v>
      </c>
      <c r="C9" s="11">
        <v>172.0</v>
      </c>
      <c r="D9" s="11">
        <v>72.0</v>
      </c>
      <c r="E9" s="9" t="s">
        <v>55</v>
      </c>
      <c r="F9" s="11">
        <v>2.0</v>
      </c>
      <c r="G9" s="9" t="s">
        <v>57</v>
      </c>
      <c r="H9" s="9" t="s">
        <v>47</v>
      </c>
      <c r="I9" s="11">
        <v>6.9</v>
      </c>
      <c r="J9" s="11">
        <v>8.9</v>
      </c>
      <c r="K9" s="9" t="s">
        <v>48</v>
      </c>
      <c r="L9" s="9" t="s">
        <v>48</v>
      </c>
      <c r="M9" s="9" t="s">
        <v>48</v>
      </c>
      <c r="N9" s="11">
        <v>3.0</v>
      </c>
    </row>
    <row r="10">
      <c r="A10" s="8">
        <v>9.0</v>
      </c>
      <c r="B10" s="9" t="s">
        <v>54</v>
      </c>
      <c r="C10" s="11">
        <v>159.0</v>
      </c>
      <c r="D10" s="11">
        <v>51.0</v>
      </c>
      <c r="E10" s="9" t="s">
        <v>45</v>
      </c>
      <c r="F10" s="11">
        <v>2.0</v>
      </c>
      <c r="G10" s="9" t="s">
        <v>50</v>
      </c>
      <c r="H10" s="9" t="s">
        <v>47</v>
      </c>
      <c r="I10" s="11">
        <v>7.3</v>
      </c>
      <c r="J10" s="11">
        <v>7.5</v>
      </c>
      <c r="K10" s="13"/>
      <c r="L10" s="13"/>
      <c r="M10" s="13"/>
      <c r="N10" s="12">
        <v>0.0</v>
      </c>
    </row>
    <row r="11">
      <c r="A11" s="8">
        <v>10.0</v>
      </c>
      <c r="B11" s="9" t="s">
        <v>44</v>
      </c>
      <c r="C11" s="11">
        <v>182.0</v>
      </c>
      <c r="D11" s="11">
        <v>76.0</v>
      </c>
      <c r="E11" s="9" t="s">
        <v>49</v>
      </c>
      <c r="F11" s="11">
        <v>2.0</v>
      </c>
      <c r="G11" s="9" t="s">
        <v>57</v>
      </c>
      <c r="H11" s="9" t="s">
        <v>47</v>
      </c>
      <c r="I11" s="11">
        <v>5.58</v>
      </c>
      <c r="J11" s="11">
        <v>5.2</v>
      </c>
      <c r="K11" s="9" t="s">
        <v>48</v>
      </c>
      <c r="L11" s="9" t="s">
        <v>48</v>
      </c>
      <c r="M11" s="9" t="s">
        <v>48</v>
      </c>
      <c r="N11" s="11">
        <v>8.0</v>
      </c>
    </row>
    <row r="12">
      <c r="A12" s="8">
        <v>11.0</v>
      </c>
      <c r="B12" s="9" t="s">
        <v>54</v>
      </c>
      <c r="C12" s="14">
        <v>1.6</v>
      </c>
      <c r="D12" s="11">
        <v>50.0</v>
      </c>
      <c r="E12" s="9" t="s">
        <v>45</v>
      </c>
      <c r="F12" s="11">
        <v>2.0</v>
      </c>
      <c r="G12" s="9" t="s">
        <v>57</v>
      </c>
      <c r="H12" s="9" t="s">
        <v>47</v>
      </c>
      <c r="I12" s="11">
        <v>6.0</v>
      </c>
      <c r="J12" s="11">
        <v>7.6</v>
      </c>
      <c r="K12" s="9" t="s">
        <v>48</v>
      </c>
      <c r="L12" s="9" t="s">
        <v>48</v>
      </c>
      <c r="M12" s="9" t="s">
        <v>53</v>
      </c>
      <c r="N12" s="11">
        <v>0.0</v>
      </c>
    </row>
    <row r="13">
      <c r="A13" s="8">
        <v>12.0</v>
      </c>
      <c r="B13" s="9" t="s">
        <v>44</v>
      </c>
      <c r="C13" s="11">
        <v>182.0</v>
      </c>
      <c r="D13" s="11">
        <v>65.0</v>
      </c>
      <c r="E13" s="9" t="s">
        <v>49</v>
      </c>
      <c r="F13" s="11">
        <v>3.0</v>
      </c>
      <c r="G13" s="9" t="s">
        <v>50</v>
      </c>
      <c r="H13" s="9" t="s">
        <v>47</v>
      </c>
      <c r="I13" s="11">
        <v>7.5</v>
      </c>
      <c r="J13" s="11">
        <v>9.303</v>
      </c>
      <c r="K13" s="9" t="s">
        <v>48</v>
      </c>
      <c r="L13" s="9" t="s">
        <v>48</v>
      </c>
      <c r="M13" s="9" t="s">
        <v>48</v>
      </c>
      <c r="N13" s="11">
        <v>10.0</v>
      </c>
    </row>
    <row r="14">
      <c r="A14" s="8">
        <v>13.0</v>
      </c>
      <c r="B14" s="9" t="s">
        <v>44</v>
      </c>
      <c r="C14" s="11">
        <v>180.0</v>
      </c>
      <c r="D14" s="11">
        <v>71.0</v>
      </c>
      <c r="E14" s="9" t="s">
        <v>49</v>
      </c>
      <c r="F14" s="11">
        <v>1.0</v>
      </c>
      <c r="G14" s="9" t="s">
        <v>50</v>
      </c>
      <c r="H14" s="9" t="s">
        <v>51</v>
      </c>
      <c r="I14" s="11">
        <v>5.5</v>
      </c>
      <c r="J14" s="11">
        <v>5.9</v>
      </c>
      <c r="K14" s="9" t="s">
        <v>48</v>
      </c>
      <c r="L14" s="9" t="s">
        <v>48</v>
      </c>
      <c r="M14" s="9" t="s">
        <v>48</v>
      </c>
      <c r="N14" s="11">
        <v>20.0</v>
      </c>
    </row>
    <row r="15">
      <c r="A15" s="8">
        <v>14.0</v>
      </c>
      <c r="B15" s="9" t="s">
        <v>44</v>
      </c>
      <c r="C15" s="11">
        <v>178.0</v>
      </c>
      <c r="D15" s="11">
        <v>76.0</v>
      </c>
      <c r="E15" s="9" t="s">
        <v>56</v>
      </c>
      <c r="F15" s="11">
        <v>2.0</v>
      </c>
      <c r="G15" s="9" t="s">
        <v>50</v>
      </c>
      <c r="H15" s="9" t="s">
        <v>51</v>
      </c>
      <c r="I15" s="11">
        <v>5.6</v>
      </c>
      <c r="J15" s="11">
        <v>6.8</v>
      </c>
      <c r="K15" s="9" t="s">
        <v>48</v>
      </c>
      <c r="L15" s="9" t="s">
        <v>48</v>
      </c>
      <c r="M15" s="9" t="s">
        <v>48</v>
      </c>
      <c r="N15" s="11">
        <v>7.0</v>
      </c>
    </row>
    <row r="16">
      <c r="A16" s="8">
        <v>15.0</v>
      </c>
      <c r="B16" s="9" t="s">
        <v>54</v>
      </c>
      <c r="C16" s="11">
        <v>163.0</v>
      </c>
      <c r="D16" s="11">
        <v>50.0</v>
      </c>
      <c r="E16" s="9" t="s">
        <v>58</v>
      </c>
      <c r="F16" s="11">
        <v>2.0</v>
      </c>
      <c r="G16" s="9" t="s">
        <v>50</v>
      </c>
      <c r="H16" s="9" t="s">
        <v>47</v>
      </c>
      <c r="I16" s="11">
        <v>6.0</v>
      </c>
      <c r="J16" s="11">
        <v>7.0</v>
      </c>
      <c r="K16" s="9" t="s">
        <v>48</v>
      </c>
      <c r="L16" s="9" t="s">
        <v>48</v>
      </c>
      <c r="M16" s="9" t="s">
        <v>48</v>
      </c>
      <c r="N16" s="11">
        <v>5.0</v>
      </c>
    </row>
    <row r="17">
      <c r="A17" s="8">
        <v>16.0</v>
      </c>
      <c r="B17" s="9" t="s">
        <v>44</v>
      </c>
      <c r="C17" s="11">
        <v>173.0</v>
      </c>
      <c r="D17" s="11">
        <v>69.0</v>
      </c>
      <c r="E17" s="9" t="s">
        <v>58</v>
      </c>
      <c r="F17" s="11">
        <v>2.0</v>
      </c>
      <c r="G17" s="9" t="s">
        <v>50</v>
      </c>
      <c r="H17" s="9" t="s">
        <v>51</v>
      </c>
      <c r="I17" s="11">
        <v>7.5</v>
      </c>
      <c r="J17" s="11">
        <v>7.4</v>
      </c>
      <c r="K17" s="9" t="s">
        <v>48</v>
      </c>
      <c r="L17" s="9" t="s">
        <v>48</v>
      </c>
      <c r="M17" s="9" t="s">
        <v>48</v>
      </c>
      <c r="N17" s="11">
        <v>35.0</v>
      </c>
    </row>
    <row r="18">
      <c r="A18" s="8">
        <v>17.0</v>
      </c>
      <c r="B18" s="9" t="s">
        <v>54</v>
      </c>
      <c r="C18" s="11">
        <v>160.0</v>
      </c>
      <c r="D18" s="11">
        <v>50.0</v>
      </c>
      <c r="E18" s="9" t="s">
        <v>45</v>
      </c>
      <c r="F18" s="11">
        <v>2.0</v>
      </c>
      <c r="G18" s="9" t="s">
        <v>50</v>
      </c>
      <c r="H18" s="9" t="s">
        <v>47</v>
      </c>
      <c r="I18" s="11">
        <v>6.0</v>
      </c>
      <c r="J18" s="11">
        <v>6.0</v>
      </c>
      <c r="K18" s="9" t="s">
        <v>53</v>
      </c>
      <c r="L18" s="9" t="s">
        <v>48</v>
      </c>
      <c r="M18" s="9" t="s">
        <v>48</v>
      </c>
      <c r="N18" s="11">
        <v>1.0</v>
      </c>
    </row>
    <row r="19">
      <c r="A19" s="8">
        <v>18.0</v>
      </c>
      <c r="B19" s="9" t="s">
        <v>44</v>
      </c>
      <c r="C19" s="11">
        <v>184.0</v>
      </c>
      <c r="D19" s="11">
        <v>68.0</v>
      </c>
      <c r="E19" s="9" t="s">
        <v>49</v>
      </c>
      <c r="F19" s="11">
        <v>2.0</v>
      </c>
      <c r="G19" s="9" t="s">
        <v>50</v>
      </c>
      <c r="H19" s="9" t="s">
        <v>47</v>
      </c>
      <c r="I19" s="11">
        <v>6.2</v>
      </c>
      <c r="J19" s="11">
        <v>8.0</v>
      </c>
      <c r="K19" s="9" t="s">
        <v>48</v>
      </c>
      <c r="L19" s="9" t="s">
        <v>48</v>
      </c>
      <c r="M19" s="9" t="s">
        <v>48</v>
      </c>
      <c r="N19" s="11">
        <v>4.0</v>
      </c>
    </row>
    <row r="20">
      <c r="A20" s="8">
        <v>19.0</v>
      </c>
      <c r="B20" s="9" t="s">
        <v>54</v>
      </c>
      <c r="C20" s="11">
        <v>162.0</v>
      </c>
      <c r="D20" s="11">
        <v>57.0</v>
      </c>
      <c r="E20" s="9" t="s">
        <v>45</v>
      </c>
      <c r="F20" s="11">
        <v>3.0</v>
      </c>
      <c r="G20" s="9" t="s">
        <v>50</v>
      </c>
      <c r="H20" s="9" t="s">
        <v>51</v>
      </c>
      <c r="I20" s="11">
        <v>6.8</v>
      </c>
      <c r="J20" s="11">
        <v>6.5</v>
      </c>
      <c r="K20" s="9" t="s">
        <v>48</v>
      </c>
      <c r="L20" s="9" t="s">
        <v>48</v>
      </c>
      <c r="M20" s="9" t="s">
        <v>48</v>
      </c>
      <c r="N20" s="11">
        <v>4.0</v>
      </c>
    </row>
    <row r="21" ht="15.75" customHeight="1">
      <c r="A21" s="8">
        <v>20.0</v>
      </c>
      <c r="B21" s="9" t="s">
        <v>54</v>
      </c>
      <c r="C21" s="11">
        <v>165.0</v>
      </c>
      <c r="D21" s="11">
        <v>56.0</v>
      </c>
      <c r="E21" s="9" t="s">
        <v>55</v>
      </c>
      <c r="F21" s="11">
        <v>3.0</v>
      </c>
      <c r="G21" s="9" t="s">
        <v>52</v>
      </c>
      <c r="H21" s="9" t="s">
        <v>47</v>
      </c>
      <c r="I21" s="11">
        <v>8.5</v>
      </c>
      <c r="J21" s="11">
        <v>10.5</v>
      </c>
      <c r="K21" s="9" t="s">
        <v>48</v>
      </c>
      <c r="L21" s="9" t="s">
        <v>48</v>
      </c>
      <c r="M21" s="9" t="s">
        <v>48</v>
      </c>
      <c r="N21" s="11">
        <v>14.0</v>
      </c>
    </row>
    <row r="22" ht="15.75" customHeight="1">
      <c r="A22" s="8">
        <v>21.0</v>
      </c>
      <c r="B22" s="9" t="s">
        <v>54</v>
      </c>
      <c r="C22" s="11">
        <v>165.0</v>
      </c>
      <c r="D22" s="11">
        <v>50.0</v>
      </c>
      <c r="E22" s="9" t="s">
        <v>45</v>
      </c>
      <c r="F22" s="11">
        <v>3.0</v>
      </c>
      <c r="G22" s="9" t="s">
        <v>52</v>
      </c>
      <c r="H22" s="9" t="s">
        <v>47</v>
      </c>
      <c r="I22" s="11">
        <v>9.5</v>
      </c>
      <c r="J22" s="11">
        <v>12.1</v>
      </c>
      <c r="K22" s="9" t="s">
        <v>48</v>
      </c>
      <c r="L22" s="9" t="s">
        <v>48</v>
      </c>
      <c r="M22" s="9" t="s">
        <v>48</v>
      </c>
      <c r="N22" s="11">
        <v>14.0</v>
      </c>
    </row>
    <row r="23" ht="15.75" customHeight="1">
      <c r="A23" s="8">
        <v>22.0</v>
      </c>
      <c r="B23" s="9" t="s">
        <v>44</v>
      </c>
      <c r="C23" s="11">
        <v>172.0</v>
      </c>
      <c r="D23" s="11">
        <v>60.0</v>
      </c>
      <c r="E23" s="9" t="s">
        <v>55</v>
      </c>
      <c r="F23" s="12">
        <v>0.0</v>
      </c>
      <c r="G23" s="9" t="s">
        <v>52</v>
      </c>
      <c r="H23" s="9" t="s">
        <v>51</v>
      </c>
      <c r="I23" s="11">
        <v>7.0</v>
      </c>
      <c r="J23" s="11">
        <v>7.8</v>
      </c>
      <c r="K23" s="9" t="s">
        <v>48</v>
      </c>
      <c r="L23" s="9" t="s">
        <v>48</v>
      </c>
      <c r="M23" s="9" t="s">
        <v>48</v>
      </c>
      <c r="N23" s="11">
        <v>20.0</v>
      </c>
    </row>
    <row r="24" ht="15.75" customHeight="1">
      <c r="A24" s="8">
        <v>23.0</v>
      </c>
      <c r="B24" s="9" t="s">
        <v>54</v>
      </c>
      <c r="C24" s="14">
        <v>1.73</v>
      </c>
      <c r="D24" s="11">
        <v>59.0</v>
      </c>
      <c r="E24" s="9" t="s">
        <v>49</v>
      </c>
      <c r="F24" s="11">
        <v>2.0</v>
      </c>
      <c r="G24" s="9" t="s">
        <v>50</v>
      </c>
      <c r="H24" s="9" t="s">
        <v>47</v>
      </c>
      <c r="I24" s="11">
        <v>9.2</v>
      </c>
      <c r="J24" s="11">
        <v>10.5</v>
      </c>
      <c r="K24" s="9" t="s">
        <v>48</v>
      </c>
      <c r="L24" s="9" t="s">
        <v>48</v>
      </c>
      <c r="M24" s="9" t="s">
        <v>48</v>
      </c>
      <c r="N24" s="11">
        <v>6.0</v>
      </c>
    </row>
    <row r="25" ht="15.75" customHeight="1">
      <c r="A25" s="8">
        <v>24.0</v>
      </c>
      <c r="B25" s="9" t="s">
        <v>54</v>
      </c>
      <c r="C25" s="11">
        <v>167.0</v>
      </c>
      <c r="D25" s="11">
        <v>61.0</v>
      </c>
      <c r="E25" s="9" t="s">
        <v>55</v>
      </c>
      <c r="F25" s="11">
        <v>3.0</v>
      </c>
      <c r="G25" s="9" t="s">
        <v>50</v>
      </c>
      <c r="H25" s="9" t="s">
        <v>51</v>
      </c>
      <c r="I25" s="11">
        <v>6.6</v>
      </c>
      <c r="J25" s="11">
        <v>8.2</v>
      </c>
      <c r="K25" s="9" t="s">
        <v>48</v>
      </c>
      <c r="L25" s="9" t="s">
        <v>48</v>
      </c>
      <c r="M25" s="9" t="s">
        <v>48</v>
      </c>
      <c r="N25" s="11">
        <v>14.0</v>
      </c>
    </row>
    <row r="26" ht="15.75" customHeight="1">
      <c r="A26" s="8">
        <v>25.0</v>
      </c>
      <c r="B26" s="9" t="s">
        <v>44</v>
      </c>
      <c r="C26" s="14">
        <v>1.74</v>
      </c>
      <c r="D26" s="11">
        <v>59.8</v>
      </c>
      <c r="E26" s="9" t="s">
        <v>55</v>
      </c>
      <c r="F26" s="11">
        <v>2.0</v>
      </c>
      <c r="G26" s="9" t="s">
        <v>50</v>
      </c>
      <c r="H26" s="8"/>
      <c r="I26" s="11">
        <v>7.56</v>
      </c>
      <c r="J26" s="11">
        <v>9.72</v>
      </c>
      <c r="K26" s="9" t="s">
        <v>48</v>
      </c>
      <c r="L26" s="9" t="s">
        <v>48</v>
      </c>
      <c r="M26" s="9" t="s">
        <v>48</v>
      </c>
      <c r="N26" s="11">
        <v>2.6</v>
      </c>
    </row>
    <row r="27" ht="15.75" customHeight="1">
      <c r="A27" s="8">
        <v>26.0</v>
      </c>
      <c r="B27" s="9" t="s">
        <v>44</v>
      </c>
      <c r="C27" s="11">
        <v>173.0</v>
      </c>
      <c r="D27" s="11">
        <v>73.0</v>
      </c>
      <c r="E27" s="9" t="s">
        <v>49</v>
      </c>
      <c r="F27" s="12">
        <v>0.0</v>
      </c>
      <c r="G27" s="9" t="s">
        <v>50</v>
      </c>
      <c r="H27" s="9" t="s">
        <v>51</v>
      </c>
      <c r="I27" s="11">
        <v>6.5</v>
      </c>
      <c r="J27" s="11">
        <v>6.375</v>
      </c>
      <c r="K27" s="9" t="s">
        <v>48</v>
      </c>
      <c r="L27" s="9" t="s">
        <v>48</v>
      </c>
      <c r="M27" s="9" t="s">
        <v>48</v>
      </c>
      <c r="N27" s="11">
        <v>25.0</v>
      </c>
    </row>
    <row r="28" ht="15.75" customHeight="1">
      <c r="A28" s="8">
        <v>27.0</v>
      </c>
      <c r="B28" s="9" t="s">
        <v>44</v>
      </c>
      <c r="C28" s="11">
        <v>171.0</v>
      </c>
      <c r="D28" s="11">
        <v>66.0</v>
      </c>
      <c r="E28" s="9" t="s">
        <v>55</v>
      </c>
      <c r="F28" s="11">
        <v>2.0</v>
      </c>
      <c r="G28" s="9" t="s">
        <v>57</v>
      </c>
      <c r="H28" s="9" t="s">
        <v>47</v>
      </c>
      <c r="I28" s="11">
        <v>6.7</v>
      </c>
      <c r="J28" s="11">
        <v>8.73</v>
      </c>
      <c r="K28" s="9" t="s">
        <v>48</v>
      </c>
      <c r="L28" s="9" t="s">
        <v>48</v>
      </c>
      <c r="M28" s="9" t="s">
        <v>48</v>
      </c>
      <c r="N28" s="11">
        <v>15.0</v>
      </c>
    </row>
    <row r="29" ht="15.75" customHeight="1">
      <c r="A29" s="8">
        <v>28.0</v>
      </c>
      <c r="B29" s="9" t="s">
        <v>44</v>
      </c>
      <c r="C29" s="11">
        <v>177.0</v>
      </c>
      <c r="D29" s="11">
        <v>65.0</v>
      </c>
      <c r="E29" s="9" t="s">
        <v>55</v>
      </c>
      <c r="F29" s="11">
        <v>2.0</v>
      </c>
      <c r="G29" s="9" t="s">
        <v>50</v>
      </c>
      <c r="H29" s="9" t="s">
        <v>51</v>
      </c>
      <c r="I29" s="11">
        <v>6.0</v>
      </c>
      <c r="J29" s="11">
        <v>8.0</v>
      </c>
      <c r="K29" s="9" t="s">
        <v>48</v>
      </c>
      <c r="L29" s="9" t="s">
        <v>48</v>
      </c>
      <c r="M29" s="9" t="s">
        <v>48</v>
      </c>
      <c r="N29" s="11">
        <v>5.0</v>
      </c>
    </row>
    <row r="30" ht="15.75" customHeight="1">
      <c r="A30" s="8">
        <v>29.0</v>
      </c>
      <c r="B30" s="9" t="s">
        <v>54</v>
      </c>
      <c r="C30" s="11">
        <v>170.0</v>
      </c>
      <c r="D30" s="11">
        <v>59.0</v>
      </c>
      <c r="E30" s="9" t="s">
        <v>55</v>
      </c>
      <c r="F30" s="11">
        <v>2.0</v>
      </c>
      <c r="G30" s="9" t="s">
        <v>50</v>
      </c>
      <c r="H30" s="9" t="s">
        <v>51</v>
      </c>
      <c r="I30" s="11">
        <v>7.0</v>
      </c>
      <c r="J30" s="11">
        <v>8.235</v>
      </c>
      <c r="K30" s="9" t="s">
        <v>53</v>
      </c>
      <c r="L30" s="9" t="s">
        <v>48</v>
      </c>
      <c r="M30" s="9" t="s">
        <v>48</v>
      </c>
      <c r="N30" s="11">
        <v>3.0</v>
      </c>
    </row>
    <row r="31" ht="15.75" customHeight="1">
      <c r="A31" s="8">
        <v>30.0</v>
      </c>
      <c r="B31" s="9" t="s">
        <v>54</v>
      </c>
      <c r="C31" s="11">
        <v>163.5</v>
      </c>
      <c r="D31" s="11">
        <v>42.5</v>
      </c>
      <c r="E31" s="9" t="s">
        <v>56</v>
      </c>
      <c r="F31" s="11">
        <v>1.0</v>
      </c>
      <c r="G31" s="9" t="s">
        <v>52</v>
      </c>
      <c r="H31" s="9" t="s">
        <v>47</v>
      </c>
      <c r="I31" s="11">
        <v>9.9</v>
      </c>
      <c r="J31" s="11">
        <v>12.5</v>
      </c>
      <c r="K31" s="9" t="s">
        <v>48</v>
      </c>
      <c r="L31" s="9" t="s">
        <v>48</v>
      </c>
      <c r="M31" s="9" t="s">
        <v>48</v>
      </c>
      <c r="N31" s="11">
        <v>8.0</v>
      </c>
    </row>
    <row r="32" ht="15.75" customHeight="1">
      <c r="A32" s="8">
        <v>31.0</v>
      </c>
      <c r="B32" s="9" t="s">
        <v>54</v>
      </c>
      <c r="C32" s="11">
        <v>150.0</v>
      </c>
      <c r="D32" s="11">
        <v>45.0</v>
      </c>
      <c r="E32" s="9" t="s">
        <v>45</v>
      </c>
      <c r="F32" s="11">
        <v>2.0</v>
      </c>
      <c r="G32" s="9" t="s">
        <v>50</v>
      </c>
      <c r="H32" s="9" t="s">
        <v>47</v>
      </c>
      <c r="I32" s="11">
        <v>6.5</v>
      </c>
      <c r="J32" s="11">
        <v>7.5</v>
      </c>
      <c r="K32" s="9" t="s">
        <v>48</v>
      </c>
      <c r="L32" s="9" t="s">
        <v>48</v>
      </c>
      <c r="M32" s="9" t="s">
        <v>48</v>
      </c>
      <c r="N32" s="11">
        <v>21.0</v>
      </c>
    </row>
    <row r="33" ht="15.75" customHeight="1">
      <c r="A33" s="8">
        <v>32.0</v>
      </c>
      <c r="B33" s="9" t="s">
        <v>44</v>
      </c>
      <c r="C33" s="11">
        <v>175.0</v>
      </c>
      <c r="D33" s="11">
        <v>65.0</v>
      </c>
      <c r="E33" s="9" t="s">
        <v>49</v>
      </c>
      <c r="F33" s="11">
        <v>2.0</v>
      </c>
      <c r="G33" s="9" t="s">
        <v>50</v>
      </c>
      <c r="H33" s="9" t="s">
        <v>47</v>
      </c>
      <c r="I33" s="11">
        <v>7.0</v>
      </c>
      <c r="J33" s="11">
        <v>9.0</v>
      </c>
      <c r="K33" s="9" t="s">
        <v>48</v>
      </c>
      <c r="L33" s="9" t="s">
        <v>48</v>
      </c>
      <c r="M33" s="9" t="s">
        <v>48</v>
      </c>
      <c r="N33" s="11">
        <v>30.0</v>
      </c>
    </row>
    <row r="34" ht="15.75" customHeight="1">
      <c r="A34" s="8">
        <v>33.0</v>
      </c>
      <c r="B34" s="9" t="s">
        <v>44</v>
      </c>
      <c r="C34" s="11">
        <v>180.0</v>
      </c>
      <c r="D34" s="11">
        <v>70.0</v>
      </c>
      <c r="E34" s="9" t="s">
        <v>45</v>
      </c>
      <c r="F34" s="11">
        <v>2.0</v>
      </c>
      <c r="G34" s="9" t="s">
        <v>57</v>
      </c>
      <c r="H34" s="9" t="s">
        <v>47</v>
      </c>
      <c r="I34" s="11">
        <v>7.0</v>
      </c>
      <c r="J34" s="11">
        <v>7.0</v>
      </c>
      <c r="K34" s="9" t="s">
        <v>48</v>
      </c>
      <c r="L34" s="9" t="s">
        <v>48</v>
      </c>
      <c r="M34" s="9" t="s">
        <v>48</v>
      </c>
      <c r="N34" s="11">
        <v>3.0</v>
      </c>
    </row>
    <row r="35" ht="15.75" customHeight="1">
      <c r="A35" s="8">
        <v>34.0</v>
      </c>
      <c r="B35" s="9" t="s">
        <v>44</v>
      </c>
      <c r="C35" s="11">
        <v>185.0</v>
      </c>
      <c r="D35" s="12">
        <v>0.0</v>
      </c>
      <c r="E35" s="13"/>
      <c r="F35" s="12">
        <v>0.0</v>
      </c>
      <c r="G35" s="13"/>
      <c r="H35" s="13"/>
      <c r="I35" s="12">
        <v>0.0</v>
      </c>
      <c r="J35" s="12">
        <v>0.0</v>
      </c>
      <c r="K35" s="13"/>
      <c r="L35" s="13"/>
      <c r="M35" s="13"/>
      <c r="N35" s="12">
        <v>0.0</v>
      </c>
    </row>
    <row r="36" ht="15.75" customHeight="1">
      <c r="A36" s="8">
        <v>35.0</v>
      </c>
      <c r="B36" s="9" t="s">
        <v>44</v>
      </c>
      <c r="C36" s="11">
        <v>172.0</v>
      </c>
      <c r="D36" s="11">
        <v>67.0</v>
      </c>
      <c r="E36" s="9" t="s">
        <v>55</v>
      </c>
      <c r="F36" s="11">
        <v>2.0</v>
      </c>
      <c r="G36" s="9" t="s">
        <v>50</v>
      </c>
      <c r="H36" s="9" t="s">
        <v>51</v>
      </c>
      <c r="I36" s="11">
        <v>5.5</v>
      </c>
      <c r="J36" s="11">
        <v>5.2</v>
      </c>
      <c r="K36" s="9" t="s">
        <v>48</v>
      </c>
      <c r="L36" s="9" t="s">
        <v>48</v>
      </c>
      <c r="M36" s="9" t="s">
        <v>48</v>
      </c>
      <c r="N36" s="11">
        <v>15.0</v>
      </c>
    </row>
    <row r="37" ht="15.75" customHeight="1">
      <c r="A37" s="8">
        <v>36.0</v>
      </c>
      <c r="B37" s="9" t="s">
        <v>54</v>
      </c>
      <c r="C37" s="11">
        <v>185.0</v>
      </c>
      <c r="D37" s="11">
        <v>85.0</v>
      </c>
      <c r="E37" s="9" t="s">
        <v>55</v>
      </c>
      <c r="F37" s="11">
        <v>2.0</v>
      </c>
      <c r="G37" s="9" t="s">
        <v>52</v>
      </c>
      <c r="H37" s="9" t="s">
        <v>47</v>
      </c>
      <c r="I37" s="11">
        <v>8.4</v>
      </c>
      <c r="J37" s="11">
        <v>8.9</v>
      </c>
      <c r="K37" s="9" t="s">
        <v>48</v>
      </c>
      <c r="L37" s="9" t="s">
        <v>48</v>
      </c>
      <c r="M37" s="9" t="s">
        <v>48</v>
      </c>
      <c r="N37" s="11">
        <v>5.0</v>
      </c>
    </row>
    <row r="38" ht="15.75" customHeight="1">
      <c r="A38" s="8">
        <v>37.0</v>
      </c>
      <c r="B38" s="9" t="s">
        <v>54</v>
      </c>
      <c r="C38" s="11">
        <v>167.0</v>
      </c>
      <c r="D38" s="11">
        <v>48.0</v>
      </c>
      <c r="E38" s="9" t="s">
        <v>45</v>
      </c>
      <c r="F38" s="11">
        <v>2.0</v>
      </c>
      <c r="G38" s="9" t="s">
        <v>50</v>
      </c>
      <c r="H38" s="9" t="s">
        <v>47</v>
      </c>
      <c r="I38" s="11">
        <v>6.21</v>
      </c>
      <c r="J38" s="11">
        <v>8.1</v>
      </c>
      <c r="K38" s="9" t="s">
        <v>48</v>
      </c>
      <c r="L38" s="9" t="s">
        <v>48</v>
      </c>
      <c r="M38" s="9" t="s">
        <v>48</v>
      </c>
      <c r="N38" s="11">
        <v>10.0</v>
      </c>
    </row>
    <row r="39" ht="15.75" customHeight="1">
      <c r="A39" s="8">
        <v>38.0</v>
      </c>
      <c r="B39" s="9" t="s">
        <v>54</v>
      </c>
      <c r="C39" s="11">
        <v>165.0</v>
      </c>
      <c r="D39" s="11">
        <v>57.0</v>
      </c>
      <c r="E39" s="9" t="s">
        <v>45</v>
      </c>
      <c r="F39" s="11">
        <v>3.0</v>
      </c>
      <c r="G39" s="9" t="s">
        <v>50</v>
      </c>
      <c r="H39" s="9" t="s">
        <v>47</v>
      </c>
      <c r="I39" s="11">
        <v>5.6</v>
      </c>
      <c r="J39" s="11">
        <v>7.9</v>
      </c>
      <c r="K39" s="9" t="s">
        <v>48</v>
      </c>
      <c r="L39" s="9" t="s">
        <v>48</v>
      </c>
      <c r="M39" s="9" t="s">
        <v>48</v>
      </c>
      <c r="N39" s="11">
        <v>10.0</v>
      </c>
    </row>
    <row r="40" ht="15.75" customHeight="1">
      <c r="A40" s="8">
        <v>39.0</v>
      </c>
      <c r="B40" s="9" t="s">
        <v>54</v>
      </c>
      <c r="C40" s="11">
        <v>165.0</v>
      </c>
      <c r="D40" s="11">
        <v>58.0</v>
      </c>
      <c r="E40" s="9" t="s">
        <v>55</v>
      </c>
      <c r="F40" s="11">
        <v>3.0</v>
      </c>
      <c r="G40" s="9" t="s">
        <v>50</v>
      </c>
      <c r="H40" s="9" t="s">
        <v>47</v>
      </c>
      <c r="I40" s="11">
        <v>6.1</v>
      </c>
      <c r="J40" s="11">
        <v>6.69</v>
      </c>
      <c r="K40" s="9" t="s">
        <v>48</v>
      </c>
      <c r="L40" s="9" t="s">
        <v>48</v>
      </c>
      <c r="M40" s="9" t="s">
        <v>48</v>
      </c>
      <c r="N40" s="11">
        <v>10.0</v>
      </c>
    </row>
    <row r="41" ht="15.75" customHeight="1">
      <c r="A41" s="8">
        <v>40.0</v>
      </c>
      <c r="B41" s="9" t="s">
        <v>54</v>
      </c>
      <c r="C41" s="11">
        <v>163.0</v>
      </c>
      <c r="D41" s="11">
        <v>58.0</v>
      </c>
      <c r="E41" s="9" t="s">
        <v>55</v>
      </c>
      <c r="F41" s="11">
        <v>3.0</v>
      </c>
      <c r="G41" s="9" t="s">
        <v>50</v>
      </c>
      <c r="H41" s="9" t="s">
        <v>47</v>
      </c>
      <c r="I41" s="11">
        <v>7.8</v>
      </c>
      <c r="J41" s="11">
        <v>10.9</v>
      </c>
      <c r="K41" s="9" t="s">
        <v>48</v>
      </c>
      <c r="L41" s="9" t="s">
        <v>48</v>
      </c>
      <c r="M41" s="9" t="s">
        <v>48</v>
      </c>
      <c r="N41" s="11">
        <v>15.0</v>
      </c>
    </row>
    <row r="42" ht="15.75" customHeight="1">
      <c r="A42" s="8">
        <v>41.0</v>
      </c>
      <c r="B42" s="9" t="s">
        <v>44</v>
      </c>
      <c r="C42" s="11">
        <v>183.0</v>
      </c>
      <c r="D42" s="11">
        <v>78.0</v>
      </c>
      <c r="E42" s="9" t="s">
        <v>56</v>
      </c>
      <c r="F42" s="11">
        <v>1.0</v>
      </c>
      <c r="G42" s="9" t="s">
        <v>50</v>
      </c>
      <c r="H42" s="9" t="s">
        <v>51</v>
      </c>
      <c r="I42" s="11">
        <v>7.1</v>
      </c>
      <c r="J42" s="11">
        <v>9.2</v>
      </c>
      <c r="K42" s="9" t="s">
        <v>48</v>
      </c>
      <c r="L42" s="9" t="s">
        <v>48</v>
      </c>
      <c r="M42" s="9" t="s">
        <v>48</v>
      </c>
      <c r="N42" s="11">
        <v>35.0</v>
      </c>
    </row>
    <row r="43" ht="15.75" customHeight="1">
      <c r="A43" s="8">
        <v>42.0</v>
      </c>
      <c r="B43" s="9" t="s">
        <v>54</v>
      </c>
      <c r="C43" s="11">
        <v>165.0</v>
      </c>
      <c r="D43" s="11">
        <v>50.0</v>
      </c>
      <c r="E43" s="9" t="s">
        <v>55</v>
      </c>
      <c r="F43" s="11">
        <v>5.0</v>
      </c>
      <c r="G43" s="9" t="s">
        <v>50</v>
      </c>
      <c r="H43" s="9" t="s">
        <v>47</v>
      </c>
      <c r="I43" s="11">
        <v>6.01</v>
      </c>
      <c r="J43" s="11">
        <v>5.3</v>
      </c>
      <c r="K43" s="9" t="s">
        <v>48</v>
      </c>
      <c r="L43" s="9" t="s">
        <v>48</v>
      </c>
      <c r="M43" s="9" t="s">
        <v>48</v>
      </c>
      <c r="N43" s="11">
        <v>20.0</v>
      </c>
    </row>
    <row r="44" ht="15.75" customHeight="1">
      <c r="A44" s="8">
        <v>43.0</v>
      </c>
      <c r="B44" s="9" t="s">
        <v>44</v>
      </c>
      <c r="C44" s="11">
        <v>180.0</v>
      </c>
      <c r="D44" s="11">
        <v>71.0</v>
      </c>
      <c r="E44" s="9" t="s">
        <v>56</v>
      </c>
      <c r="F44" s="11">
        <v>2.0</v>
      </c>
      <c r="G44" s="9" t="s">
        <v>50</v>
      </c>
      <c r="H44" s="9" t="s">
        <v>47</v>
      </c>
      <c r="I44" s="11">
        <v>5.6</v>
      </c>
      <c r="J44" s="11">
        <v>6.5</v>
      </c>
      <c r="K44" s="9" t="s">
        <v>48</v>
      </c>
      <c r="L44" s="9" t="s">
        <v>48</v>
      </c>
      <c r="M44" s="9" t="s">
        <v>48</v>
      </c>
      <c r="N44" s="11">
        <v>14.0</v>
      </c>
    </row>
    <row r="45" ht="15.75" customHeight="1">
      <c r="A45" s="8">
        <v>44.0</v>
      </c>
      <c r="B45" s="9" t="s">
        <v>44</v>
      </c>
      <c r="C45" s="11">
        <v>171.0</v>
      </c>
      <c r="D45" s="11">
        <v>70.0</v>
      </c>
      <c r="E45" s="9" t="s">
        <v>49</v>
      </c>
      <c r="F45" s="11">
        <v>1.0</v>
      </c>
      <c r="G45" s="9" t="s">
        <v>52</v>
      </c>
      <c r="H45" s="9" t="s">
        <v>47</v>
      </c>
      <c r="I45" s="11">
        <v>6.8</v>
      </c>
      <c r="J45" s="11">
        <v>9.2</v>
      </c>
      <c r="K45" s="9" t="s">
        <v>48</v>
      </c>
      <c r="L45" s="9" t="s">
        <v>48</v>
      </c>
      <c r="M45" s="9" t="s">
        <v>48</v>
      </c>
      <c r="N45" s="11">
        <v>10.0</v>
      </c>
    </row>
    <row r="46" ht="15.75" customHeight="1">
      <c r="A46" s="8">
        <v>45.0</v>
      </c>
      <c r="B46" s="9" t="s">
        <v>54</v>
      </c>
      <c r="C46" s="14">
        <v>1.65</v>
      </c>
      <c r="D46" s="11">
        <v>60.0</v>
      </c>
      <c r="E46" s="9" t="s">
        <v>45</v>
      </c>
      <c r="F46" s="11">
        <v>2.0</v>
      </c>
      <c r="G46" s="9" t="s">
        <v>46</v>
      </c>
      <c r="H46" s="9" t="s">
        <v>51</v>
      </c>
      <c r="I46" s="11">
        <v>5.6</v>
      </c>
      <c r="J46" s="11">
        <v>6.8</v>
      </c>
      <c r="K46" s="9" t="s">
        <v>48</v>
      </c>
      <c r="L46" s="9" t="s">
        <v>48</v>
      </c>
      <c r="M46" s="9" t="s">
        <v>48</v>
      </c>
      <c r="N46" s="11">
        <v>5.0</v>
      </c>
    </row>
    <row r="47" ht="15.75" customHeight="1">
      <c r="A47" s="8">
        <v>46.0</v>
      </c>
      <c r="B47" s="9" t="s">
        <v>44</v>
      </c>
      <c r="C47" s="11">
        <v>186.0</v>
      </c>
      <c r="D47" s="11">
        <v>71.0</v>
      </c>
      <c r="E47" s="9" t="s">
        <v>49</v>
      </c>
      <c r="F47" s="12">
        <v>0.0</v>
      </c>
      <c r="G47" s="9" t="s">
        <v>50</v>
      </c>
      <c r="H47" s="9" t="s">
        <v>51</v>
      </c>
      <c r="I47" s="11">
        <v>7.0</v>
      </c>
      <c r="J47" s="11">
        <v>6.0</v>
      </c>
      <c r="K47" s="9" t="s">
        <v>48</v>
      </c>
      <c r="L47" s="9" t="s">
        <v>48</v>
      </c>
      <c r="M47" s="9" t="s">
        <v>48</v>
      </c>
      <c r="N47" s="11">
        <v>6.0</v>
      </c>
    </row>
    <row r="48" ht="15.75" customHeight="1">
      <c r="A48" s="8">
        <v>47.0</v>
      </c>
      <c r="B48" s="9" t="s">
        <v>44</v>
      </c>
      <c r="C48" s="14">
        <v>1.87</v>
      </c>
      <c r="D48" s="11">
        <v>82.0</v>
      </c>
      <c r="E48" s="9" t="s">
        <v>56</v>
      </c>
      <c r="F48" s="11">
        <v>3.0</v>
      </c>
      <c r="G48" s="9" t="s">
        <v>50</v>
      </c>
      <c r="H48" s="9" t="s">
        <v>47</v>
      </c>
      <c r="I48" s="11">
        <v>5.9</v>
      </c>
      <c r="J48" s="12">
        <v>0.0</v>
      </c>
      <c r="K48" s="9" t="s">
        <v>48</v>
      </c>
      <c r="L48" s="9" t="s">
        <v>48</v>
      </c>
      <c r="M48" s="9" t="s">
        <v>48</v>
      </c>
      <c r="N48" s="11">
        <v>2.0</v>
      </c>
    </row>
    <row r="49" ht="15.75" customHeight="1">
      <c r="A49" s="8">
        <v>48.0</v>
      </c>
      <c r="B49" s="9" t="s">
        <v>44</v>
      </c>
      <c r="C49" s="14">
        <v>1.75</v>
      </c>
      <c r="D49" s="11">
        <v>70.0</v>
      </c>
      <c r="E49" s="9" t="s">
        <v>49</v>
      </c>
      <c r="F49" s="11">
        <v>6.0</v>
      </c>
      <c r="G49" s="9" t="s">
        <v>50</v>
      </c>
      <c r="H49" s="9" t="s">
        <v>51</v>
      </c>
      <c r="I49" s="11">
        <v>5.0</v>
      </c>
      <c r="J49" s="11">
        <v>7.0</v>
      </c>
      <c r="K49" s="9" t="s">
        <v>48</v>
      </c>
      <c r="L49" s="9" t="s">
        <v>48</v>
      </c>
      <c r="M49" s="9" t="s">
        <v>48</v>
      </c>
      <c r="N49" s="11">
        <v>70.0</v>
      </c>
    </row>
    <row r="50" ht="15.75" customHeight="1">
      <c r="A50" s="8">
        <v>49.0</v>
      </c>
      <c r="B50" s="9" t="s">
        <v>44</v>
      </c>
      <c r="C50" s="11">
        <v>180.0</v>
      </c>
      <c r="D50" s="11">
        <v>71.0</v>
      </c>
      <c r="E50" s="9" t="s">
        <v>55</v>
      </c>
      <c r="F50" s="11">
        <v>2.0</v>
      </c>
      <c r="G50" s="9" t="s">
        <v>46</v>
      </c>
      <c r="H50" s="9" t="s">
        <v>47</v>
      </c>
      <c r="I50" s="11">
        <v>8.0</v>
      </c>
      <c r="J50" s="11">
        <v>9.0</v>
      </c>
      <c r="K50" s="9" t="s">
        <v>48</v>
      </c>
      <c r="L50" s="9" t="s">
        <v>48</v>
      </c>
      <c r="M50" s="9" t="s">
        <v>48</v>
      </c>
      <c r="N50" s="11">
        <v>10.0</v>
      </c>
    </row>
    <row r="51" ht="15.75" customHeight="1">
      <c r="A51" s="8">
        <v>50.0</v>
      </c>
      <c r="B51" s="9" t="s">
        <v>44</v>
      </c>
      <c r="C51" s="14">
        <v>1.8</v>
      </c>
      <c r="D51" s="11">
        <v>70.0</v>
      </c>
      <c r="E51" s="9" t="s">
        <v>49</v>
      </c>
      <c r="F51" s="11">
        <v>2.0</v>
      </c>
      <c r="G51" s="9" t="s">
        <v>50</v>
      </c>
      <c r="H51" s="9" t="s">
        <v>47</v>
      </c>
      <c r="I51" s="11">
        <v>6.2</v>
      </c>
      <c r="J51" s="11">
        <v>8.1</v>
      </c>
      <c r="K51" s="9" t="s">
        <v>48</v>
      </c>
      <c r="L51" s="9" t="s">
        <v>48</v>
      </c>
      <c r="M51" s="9" t="s">
        <v>48</v>
      </c>
      <c r="N51" s="11">
        <v>3.0</v>
      </c>
    </row>
    <row r="52" ht="15.75" customHeight="1">
      <c r="A52" s="8">
        <v>51.0</v>
      </c>
      <c r="B52" s="9" t="s">
        <v>44</v>
      </c>
      <c r="C52" s="11">
        <v>168.0</v>
      </c>
      <c r="D52" s="11">
        <v>65.0</v>
      </c>
      <c r="E52" s="9" t="s">
        <v>49</v>
      </c>
      <c r="F52" s="11">
        <v>2.0</v>
      </c>
      <c r="G52" s="9" t="s">
        <v>50</v>
      </c>
      <c r="H52" s="9" t="s">
        <v>51</v>
      </c>
      <c r="I52" s="11">
        <v>5.3</v>
      </c>
      <c r="J52" s="11">
        <v>7.2</v>
      </c>
      <c r="K52" s="9" t="s">
        <v>48</v>
      </c>
      <c r="L52" s="9" t="s">
        <v>48</v>
      </c>
      <c r="M52" s="9" t="s">
        <v>48</v>
      </c>
      <c r="N52" s="11">
        <v>7.0</v>
      </c>
    </row>
    <row r="53" ht="15.75" customHeight="1">
      <c r="A53" s="8">
        <v>52.0</v>
      </c>
      <c r="B53" s="9" t="s">
        <v>44</v>
      </c>
      <c r="C53" s="11">
        <v>190.0</v>
      </c>
      <c r="D53" s="11">
        <v>75.0</v>
      </c>
      <c r="E53" s="9" t="s">
        <v>55</v>
      </c>
      <c r="F53" s="11">
        <v>3.0</v>
      </c>
      <c r="G53" s="9" t="s">
        <v>46</v>
      </c>
      <c r="H53" s="9" t="s">
        <v>47</v>
      </c>
      <c r="I53" s="11">
        <v>6.72</v>
      </c>
      <c r="J53" s="11">
        <v>7.43</v>
      </c>
      <c r="K53" s="9" t="s">
        <v>48</v>
      </c>
      <c r="L53" s="9" t="s">
        <v>48</v>
      </c>
      <c r="M53" s="9" t="s">
        <v>48</v>
      </c>
      <c r="N53" s="11">
        <v>30.0</v>
      </c>
    </row>
    <row r="54" ht="15.75" customHeight="1">
      <c r="A54" s="8">
        <v>53.0</v>
      </c>
      <c r="B54" s="9" t="s">
        <v>54</v>
      </c>
      <c r="C54" s="11">
        <v>187.0</v>
      </c>
      <c r="D54" s="11">
        <v>70.0</v>
      </c>
      <c r="E54" s="9" t="s">
        <v>55</v>
      </c>
      <c r="F54" s="11">
        <v>2.0</v>
      </c>
      <c r="G54" s="9" t="s">
        <v>52</v>
      </c>
      <c r="H54" s="9" t="s">
        <v>47</v>
      </c>
      <c r="I54" s="11">
        <v>6.0</v>
      </c>
      <c r="J54" s="11">
        <v>10.0</v>
      </c>
      <c r="K54" s="9" t="s">
        <v>48</v>
      </c>
      <c r="L54" s="9" t="s">
        <v>48</v>
      </c>
      <c r="M54" s="9" t="s">
        <v>48</v>
      </c>
      <c r="N54" s="11">
        <v>1.0</v>
      </c>
    </row>
    <row r="55" ht="15.75" customHeight="1">
      <c r="A55" s="8">
        <v>54.0</v>
      </c>
      <c r="B55" s="9" t="s">
        <v>44</v>
      </c>
      <c r="C55" s="11">
        <v>169.0</v>
      </c>
      <c r="D55" s="11">
        <v>72.0</v>
      </c>
      <c r="E55" s="9" t="s">
        <v>55</v>
      </c>
      <c r="F55" s="11">
        <v>1.0</v>
      </c>
      <c r="G55" s="9" t="s">
        <v>46</v>
      </c>
      <c r="H55" s="9" t="s">
        <v>51</v>
      </c>
      <c r="I55" s="11">
        <v>6.7</v>
      </c>
      <c r="J55" s="11">
        <v>8.5</v>
      </c>
      <c r="K55" s="9" t="s">
        <v>48</v>
      </c>
      <c r="L55" s="9" t="s">
        <v>48</v>
      </c>
      <c r="M55" s="9" t="s">
        <v>48</v>
      </c>
      <c r="N55" s="11">
        <v>10.0</v>
      </c>
    </row>
    <row r="56" ht="15.75" customHeight="1">
      <c r="A56" s="8">
        <v>55.0</v>
      </c>
      <c r="B56" s="9" t="s">
        <v>44</v>
      </c>
      <c r="C56" s="11">
        <v>175.0</v>
      </c>
      <c r="D56" s="11">
        <v>73.0</v>
      </c>
      <c r="E56" s="9" t="s">
        <v>49</v>
      </c>
      <c r="F56" s="11">
        <v>2.0</v>
      </c>
      <c r="G56" s="9" t="s">
        <v>46</v>
      </c>
      <c r="H56" s="9" t="s">
        <v>47</v>
      </c>
      <c r="I56" s="11">
        <v>7.0</v>
      </c>
      <c r="J56" s="11">
        <v>9.8</v>
      </c>
      <c r="K56" s="9" t="s">
        <v>48</v>
      </c>
      <c r="L56" s="9" t="s">
        <v>48</v>
      </c>
      <c r="M56" s="9" t="s">
        <v>48</v>
      </c>
      <c r="N56" s="11">
        <v>3.0</v>
      </c>
    </row>
    <row r="57" ht="15.75" customHeight="1">
      <c r="A57" s="8">
        <v>56.0</v>
      </c>
      <c r="B57" s="9" t="s">
        <v>44</v>
      </c>
      <c r="C57" s="11">
        <v>165.0</v>
      </c>
      <c r="D57" s="11">
        <v>75.0</v>
      </c>
      <c r="E57" s="9" t="s">
        <v>45</v>
      </c>
      <c r="F57" s="11">
        <v>3.0</v>
      </c>
      <c r="G57" s="9" t="s">
        <v>50</v>
      </c>
      <c r="H57" s="9" t="s">
        <v>47</v>
      </c>
      <c r="I57" s="12">
        <v>0.0</v>
      </c>
      <c r="J57" s="12">
        <v>0.0</v>
      </c>
      <c r="K57" s="9" t="s">
        <v>48</v>
      </c>
      <c r="L57" s="9" t="s">
        <v>48</v>
      </c>
      <c r="M57" s="9" t="s">
        <v>53</v>
      </c>
      <c r="N57" s="11">
        <v>0.0</v>
      </c>
    </row>
    <row r="58" ht="15.75" customHeight="1">
      <c r="A58" s="8">
        <v>57.0</v>
      </c>
      <c r="B58" s="9" t="s">
        <v>44</v>
      </c>
      <c r="C58" s="11">
        <v>176.0</v>
      </c>
      <c r="D58" s="11">
        <v>90.0</v>
      </c>
      <c r="E58" s="9" t="s">
        <v>55</v>
      </c>
      <c r="F58" s="11">
        <v>2.0</v>
      </c>
      <c r="G58" s="9" t="s">
        <v>57</v>
      </c>
      <c r="H58" s="9" t="s">
        <v>47</v>
      </c>
      <c r="I58" s="11">
        <v>6.2</v>
      </c>
      <c r="J58" s="11">
        <v>7.4</v>
      </c>
      <c r="K58" s="9" t="s">
        <v>48</v>
      </c>
      <c r="L58" s="9" t="s">
        <v>48</v>
      </c>
      <c r="M58" s="9" t="s">
        <v>48</v>
      </c>
      <c r="N58" s="11">
        <v>15.0</v>
      </c>
    </row>
    <row r="59" ht="15.75" customHeight="1">
      <c r="A59" s="8">
        <v>58.0</v>
      </c>
      <c r="B59" s="9" t="s">
        <v>44</v>
      </c>
      <c r="C59" s="11">
        <v>178.0</v>
      </c>
      <c r="D59" s="11">
        <v>67.5</v>
      </c>
      <c r="E59" s="9" t="s">
        <v>55</v>
      </c>
      <c r="F59" s="11">
        <v>2.0</v>
      </c>
      <c r="G59" s="9" t="s">
        <v>57</v>
      </c>
      <c r="H59" s="9" t="s">
        <v>47</v>
      </c>
      <c r="I59" s="11">
        <v>5.7</v>
      </c>
      <c r="J59" s="11">
        <v>6.3</v>
      </c>
      <c r="K59" s="9" t="s">
        <v>48</v>
      </c>
      <c r="L59" s="9" t="s">
        <v>48</v>
      </c>
      <c r="M59" s="9" t="s">
        <v>48</v>
      </c>
      <c r="N59" s="11">
        <v>3.0</v>
      </c>
    </row>
    <row r="60" ht="15.75" customHeight="1">
      <c r="A60" s="8">
        <v>59.0</v>
      </c>
      <c r="B60" s="9" t="s">
        <v>44</v>
      </c>
      <c r="C60" s="11">
        <v>165.0</v>
      </c>
      <c r="D60" s="11">
        <v>70.0</v>
      </c>
      <c r="E60" s="9" t="s">
        <v>45</v>
      </c>
      <c r="F60" s="11">
        <v>3.0</v>
      </c>
      <c r="G60" s="9" t="s">
        <v>50</v>
      </c>
      <c r="H60" s="9" t="s">
        <v>47</v>
      </c>
      <c r="I60" s="11">
        <v>7.7</v>
      </c>
      <c r="J60" s="11">
        <v>9.1</v>
      </c>
      <c r="K60" s="9" t="s">
        <v>48</v>
      </c>
      <c r="L60" s="9" t="s">
        <v>53</v>
      </c>
      <c r="M60" s="9" t="s">
        <v>48</v>
      </c>
      <c r="N60" s="11">
        <v>5.0</v>
      </c>
    </row>
    <row r="61" ht="15.75" customHeight="1">
      <c r="A61" s="8">
        <v>60.0</v>
      </c>
      <c r="B61" s="9" t="s">
        <v>44</v>
      </c>
      <c r="C61" s="11">
        <v>174.0</v>
      </c>
      <c r="D61" s="11">
        <v>70.0</v>
      </c>
      <c r="E61" s="9" t="s">
        <v>45</v>
      </c>
      <c r="F61" s="12">
        <v>0.0</v>
      </c>
      <c r="G61" s="9" t="s">
        <v>50</v>
      </c>
      <c r="H61" s="9" t="s">
        <v>51</v>
      </c>
      <c r="I61" s="11">
        <v>8.5</v>
      </c>
      <c r="J61" s="11">
        <v>11.1</v>
      </c>
      <c r="K61" s="9" t="s">
        <v>48</v>
      </c>
      <c r="L61" s="9" t="s">
        <v>48</v>
      </c>
      <c r="M61" s="9" t="s">
        <v>48</v>
      </c>
      <c r="N61" s="11">
        <v>1.0</v>
      </c>
    </row>
    <row r="62" ht="15.75" customHeight="1">
      <c r="A62" s="8">
        <v>61.0</v>
      </c>
      <c r="B62" s="9" t="s">
        <v>54</v>
      </c>
      <c r="C62" s="11">
        <v>175.0</v>
      </c>
      <c r="D62" s="11">
        <v>70.0</v>
      </c>
      <c r="E62" s="9" t="s">
        <v>45</v>
      </c>
      <c r="F62" s="11">
        <v>2.0</v>
      </c>
      <c r="G62" s="9" t="s">
        <v>46</v>
      </c>
      <c r="H62" s="9" t="s">
        <v>47</v>
      </c>
      <c r="I62" s="11">
        <v>9.3</v>
      </c>
      <c r="J62" s="11">
        <v>8.9</v>
      </c>
      <c r="K62" s="9" t="s">
        <v>48</v>
      </c>
      <c r="L62" s="9" t="s">
        <v>48</v>
      </c>
      <c r="M62" s="9" t="s">
        <v>48</v>
      </c>
      <c r="N62" s="11">
        <v>7.0</v>
      </c>
    </row>
    <row r="63" ht="15.75" customHeight="1">
      <c r="A63" s="8">
        <v>62.0</v>
      </c>
      <c r="B63" s="13"/>
      <c r="C63" s="11">
        <v>166.0</v>
      </c>
      <c r="D63" s="12">
        <v>0.0</v>
      </c>
      <c r="E63" s="13"/>
      <c r="F63" s="12">
        <v>0.0</v>
      </c>
      <c r="G63" s="13"/>
      <c r="H63" s="13"/>
      <c r="I63" s="12">
        <v>0.0</v>
      </c>
      <c r="J63" s="12">
        <v>0.0</v>
      </c>
      <c r="K63" s="13"/>
      <c r="L63" s="13"/>
      <c r="M63" s="13"/>
      <c r="N63" s="12">
        <v>0.0</v>
      </c>
    </row>
    <row r="64" ht="15.75" customHeight="1">
      <c r="A64" s="8">
        <v>63.0</v>
      </c>
      <c r="B64" s="9" t="s">
        <v>54</v>
      </c>
      <c r="C64" s="11">
        <v>158.0</v>
      </c>
      <c r="D64" s="11">
        <v>45.0</v>
      </c>
      <c r="E64" s="9" t="s">
        <v>45</v>
      </c>
      <c r="F64" s="11">
        <v>1.0</v>
      </c>
      <c r="G64" s="9" t="s">
        <v>52</v>
      </c>
      <c r="H64" s="9" t="s">
        <v>47</v>
      </c>
      <c r="I64" s="11">
        <v>8.63</v>
      </c>
      <c r="J64" s="11">
        <v>12.4</v>
      </c>
      <c r="K64" s="9" t="s">
        <v>48</v>
      </c>
      <c r="L64" s="9" t="s">
        <v>48</v>
      </c>
      <c r="M64" s="9" t="s">
        <v>48</v>
      </c>
      <c r="N64" s="11">
        <v>2.0</v>
      </c>
    </row>
    <row r="65" ht="15.75" customHeight="1">
      <c r="A65" s="8">
        <v>64.0</v>
      </c>
      <c r="B65" s="9" t="s">
        <v>44</v>
      </c>
      <c r="C65" s="11">
        <v>175.0</v>
      </c>
      <c r="D65" s="11">
        <v>80.0</v>
      </c>
      <c r="E65" s="9" t="s">
        <v>55</v>
      </c>
      <c r="F65" s="11">
        <v>4.0</v>
      </c>
      <c r="G65" s="9" t="s">
        <v>50</v>
      </c>
      <c r="H65" s="9" t="s">
        <v>47</v>
      </c>
      <c r="I65" s="11">
        <v>6.5</v>
      </c>
      <c r="J65" s="11">
        <v>6.5</v>
      </c>
      <c r="K65" s="9" t="s">
        <v>48</v>
      </c>
      <c r="L65" s="9" t="s">
        <v>53</v>
      </c>
      <c r="M65" s="9" t="s">
        <v>48</v>
      </c>
      <c r="N65" s="11">
        <v>25.0</v>
      </c>
    </row>
    <row r="66" ht="15.75" customHeight="1">
      <c r="A66" s="8">
        <v>65.0</v>
      </c>
      <c r="B66" s="9" t="s">
        <v>44</v>
      </c>
      <c r="C66" s="11">
        <v>190.0</v>
      </c>
      <c r="D66" s="11">
        <v>80.0</v>
      </c>
      <c r="E66" s="9" t="s">
        <v>55</v>
      </c>
      <c r="F66" s="11">
        <v>2.0</v>
      </c>
      <c r="G66" s="9" t="s">
        <v>50</v>
      </c>
      <c r="H66" s="9" t="s">
        <v>47</v>
      </c>
      <c r="I66" s="11">
        <v>8.0</v>
      </c>
      <c r="J66" s="11">
        <v>9.0</v>
      </c>
      <c r="K66" s="9" t="s">
        <v>48</v>
      </c>
      <c r="L66" s="9" t="s">
        <v>48</v>
      </c>
      <c r="M66" s="9" t="s">
        <v>48</v>
      </c>
      <c r="N66" s="11">
        <v>30.0</v>
      </c>
    </row>
    <row r="67" ht="15.75" customHeight="1">
      <c r="A67" s="8">
        <v>66.0</v>
      </c>
      <c r="B67" s="9" t="s">
        <v>44</v>
      </c>
      <c r="C67" s="14">
        <v>1.78</v>
      </c>
      <c r="D67" s="11">
        <v>72.0</v>
      </c>
      <c r="E67" s="9" t="s">
        <v>49</v>
      </c>
      <c r="F67" s="11">
        <v>2.0</v>
      </c>
      <c r="G67" s="9" t="s">
        <v>50</v>
      </c>
      <c r="H67" s="9" t="s">
        <v>47</v>
      </c>
      <c r="I67" s="11">
        <v>7.1</v>
      </c>
      <c r="J67" s="11">
        <v>6.6</v>
      </c>
      <c r="K67" s="9" t="s">
        <v>48</v>
      </c>
      <c r="L67" s="9" t="s">
        <v>48</v>
      </c>
      <c r="M67" s="9" t="s">
        <v>48</v>
      </c>
      <c r="N67" s="11">
        <v>35.0</v>
      </c>
    </row>
    <row r="68" ht="15.75" customHeight="1">
      <c r="A68" s="8">
        <v>67.0</v>
      </c>
      <c r="B68" s="9" t="s">
        <v>44</v>
      </c>
      <c r="C68" s="11">
        <v>166.0</v>
      </c>
      <c r="D68" s="11">
        <v>62.0</v>
      </c>
      <c r="E68" s="9" t="s">
        <v>56</v>
      </c>
      <c r="F68" s="12">
        <v>0.0</v>
      </c>
      <c r="G68" s="9" t="s">
        <v>52</v>
      </c>
      <c r="H68" s="9" t="s">
        <v>47</v>
      </c>
      <c r="I68" s="11">
        <v>9.4</v>
      </c>
      <c r="J68" s="11">
        <v>10.7</v>
      </c>
      <c r="K68" s="9" t="s">
        <v>48</v>
      </c>
      <c r="L68" s="9" t="s">
        <v>48</v>
      </c>
      <c r="M68" s="9" t="s">
        <v>48</v>
      </c>
      <c r="N68" s="11">
        <v>35.0</v>
      </c>
    </row>
    <row r="69" ht="15.75" customHeight="1">
      <c r="A69" s="8">
        <v>68.0</v>
      </c>
      <c r="B69" s="9" t="s">
        <v>44</v>
      </c>
      <c r="C69" s="11">
        <v>180.0</v>
      </c>
      <c r="D69" s="11">
        <v>82.0</v>
      </c>
      <c r="E69" s="9" t="s">
        <v>45</v>
      </c>
      <c r="F69" s="11">
        <v>1.0</v>
      </c>
      <c r="G69" s="9" t="s">
        <v>50</v>
      </c>
      <c r="H69" s="9" t="s">
        <v>47</v>
      </c>
      <c r="I69" s="11">
        <v>7.1</v>
      </c>
      <c r="J69" s="11">
        <v>7.7</v>
      </c>
      <c r="K69" s="9" t="s">
        <v>48</v>
      </c>
      <c r="L69" s="9" t="s">
        <v>48</v>
      </c>
      <c r="M69" s="9" t="s">
        <v>48</v>
      </c>
      <c r="N69" s="11">
        <v>1.0</v>
      </c>
    </row>
    <row r="70" ht="15.75" customHeight="1">
      <c r="A70" s="8">
        <v>69.0</v>
      </c>
      <c r="B70" s="9" t="s">
        <v>44</v>
      </c>
      <c r="C70" s="11">
        <v>189.0</v>
      </c>
      <c r="D70" s="11">
        <v>85.0</v>
      </c>
      <c r="E70" s="9" t="s">
        <v>55</v>
      </c>
      <c r="F70" s="11">
        <v>3.0</v>
      </c>
      <c r="G70" s="9" t="s">
        <v>50</v>
      </c>
      <c r="H70" s="9" t="s">
        <v>51</v>
      </c>
      <c r="I70" s="11">
        <v>7.0</v>
      </c>
      <c r="J70" s="12">
        <v>0.0</v>
      </c>
      <c r="K70" s="9" t="s">
        <v>48</v>
      </c>
      <c r="L70" s="9" t="s">
        <v>48</v>
      </c>
      <c r="M70" s="9" t="s">
        <v>48</v>
      </c>
      <c r="N70" s="11">
        <v>15.0</v>
      </c>
    </row>
    <row r="71" ht="15.75" customHeight="1">
      <c r="A71" s="8">
        <v>70.0</v>
      </c>
      <c r="B71" s="9" t="s">
        <v>44</v>
      </c>
      <c r="C71" s="11">
        <v>190.0</v>
      </c>
      <c r="D71" s="11">
        <v>75.0</v>
      </c>
      <c r="E71" s="9" t="s">
        <v>49</v>
      </c>
      <c r="F71" s="11">
        <v>2.0</v>
      </c>
      <c r="G71" s="13"/>
      <c r="H71" s="9" t="s">
        <v>47</v>
      </c>
      <c r="I71" s="11">
        <v>7.0</v>
      </c>
      <c r="J71" s="11">
        <v>9.0</v>
      </c>
      <c r="K71" s="9" t="s">
        <v>48</v>
      </c>
      <c r="L71" s="9" t="s">
        <v>48</v>
      </c>
      <c r="M71" s="9" t="s">
        <v>48</v>
      </c>
      <c r="N71" s="11">
        <v>14.0</v>
      </c>
    </row>
    <row r="72" ht="15.75" customHeight="1">
      <c r="A72" s="8">
        <v>71.0</v>
      </c>
      <c r="B72" s="9" t="s">
        <v>54</v>
      </c>
      <c r="C72" s="11">
        <v>168.0</v>
      </c>
      <c r="D72" s="11">
        <v>61.0</v>
      </c>
      <c r="E72" s="9" t="s">
        <v>45</v>
      </c>
      <c r="F72" s="11">
        <v>3.0</v>
      </c>
      <c r="G72" s="9" t="s">
        <v>50</v>
      </c>
      <c r="H72" s="9" t="s">
        <v>51</v>
      </c>
      <c r="I72" s="11">
        <v>6.0</v>
      </c>
      <c r="J72" s="11">
        <v>6.0</v>
      </c>
      <c r="K72" s="9" t="s">
        <v>48</v>
      </c>
      <c r="L72" s="9" t="s">
        <v>48</v>
      </c>
      <c r="M72" s="9" t="s">
        <v>48</v>
      </c>
      <c r="N72" s="11">
        <v>0.0</v>
      </c>
    </row>
    <row r="73" ht="15.75" customHeight="1">
      <c r="A73" s="8">
        <v>72.0</v>
      </c>
      <c r="B73" s="9" t="s">
        <v>44</v>
      </c>
      <c r="C73" s="11">
        <v>180.0</v>
      </c>
      <c r="D73" s="11">
        <v>85.0</v>
      </c>
      <c r="E73" s="9" t="s">
        <v>55</v>
      </c>
      <c r="F73" s="11">
        <v>1.0</v>
      </c>
      <c r="G73" s="9" t="s">
        <v>50</v>
      </c>
      <c r="H73" s="9" t="s">
        <v>51</v>
      </c>
      <c r="I73" s="11">
        <v>6.5</v>
      </c>
      <c r="J73" s="11">
        <v>5.0</v>
      </c>
      <c r="K73" s="9" t="s">
        <v>48</v>
      </c>
      <c r="L73" s="9" t="s">
        <v>48</v>
      </c>
      <c r="M73" s="9" t="s">
        <v>48</v>
      </c>
      <c r="N73" s="11">
        <v>20.0</v>
      </c>
    </row>
    <row r="74" ht="15.75" customHeight="1">
      <c r="A74" s="8">
        <v>73.0</v>
      </c>
      <c r="B74" s="9" t="s">
        <v>44</v>
      </c>
      <c r="C74" s="11">
        <v>182.0</v>
      </c>
      <c r="D74" s="11">
        <v>80.0</v>
      </c>
      <c r="E74" s="9" t="s">
        <v>49</v>
      </c>
      <c r="F74" s="11">
        <v>1.0</v>
      </c>
      <c r="G74" s="9" t="s">
        <v>50</v>
      </c>
      <c r="H74" s="9" t="s">
        <v>51</v>
      </c>
      <c r="I74" s="11">
        <v>7.0</v>
      </c>
      <c r="J74" s="11">
        <v>7.0</v>
      </c>
      <c r="K74" s="9" t="s">
        <v>48</v>
      </c>
      <c r="L74" s="9" t="s">
        <v>48</v>
      </c>
      <c r="M74" s="9" t="s">
        <v>48</v>
      </c>
      <c r="N74" s="11">
        <v>70.0</v>
      </c>
    </row>
    <row r="75" ht="15.75" customHeight="1">
      <c r="A75" s="8">
        <v>74.0</v>
      </c>
      <c r="B75" s="9" t="s">
        <v>44</v>
      </c>
      <c r="C75" s="14">
        <v>1.8</v>
      </c>
      <c r="D75" s="11">
        <v>85.0</v>
      </c>
      <c r="E75" s="9" t="s">
        <v>56</v>
      </c>
      <c r="F75" s="11">
        <v>3.0</v>
      </c>
      <c r="G75" s="9" t="s">
        <v>50</v>
      </c>
      <c r="H75" s="9" t="s">
        <v>47</v>
      </c>
      <c r="I75" s="11">
        <v>7.8</v>
      </c>
      <c r="J75" s="12">
        <v>0.0</v>
      </c>
      <c r="K75" s="9" t="s">
        <v>48</v>
      </c>
      <c r="L75" s="9" t="s">
        <v>48</v>
      </c>
      <c r="M75" s="9" t="s">
        <v>53</v>
      </c>
      <c r="N75" s="11">
        <v>0.0</v>
      </c>
    </row>
    <row r="76" ht="15.75" customHeight="1">
      <c r="A76" s="8">
        <v>75.0</v>
      </c>
      <c r="B76" s="9" t="s">
        <v>44</v>
      </c>
      <c r="C76" s="11">
        <v>175.0</v>
      </c>
      <c r="D76" s="11">
        <v>62.0</v>
      </c>
      <c r="E76" s="9" t="s">
        <v>49</v>
      </c>
      <c r="F76" s="11">
        <v>2.0</v>
      </c>
      <c r="G76" s="9" t="s">
        <v>52</v>
      </c>
      <c r="H76" s="9" t="s">
        <v>47</v>
      </c>
      <c r="I76" s="11">
        <v>7.0</v>
      </c>
      <c r="J76" s="11">
        <v>9.1</v>
      </c>
      <c r="K76" s="9" t="s">
        <v>48</v>
      </c>
      <c r="L76" s="9" t="s">
        <v>48</v>
      </c>
      <c r="M76" s="9" t="s">
        <v>48</v>
      </c>
      <c r="N76" s="11">
        <v>60.0</v>
      </c>
    </row>
    <row r="77" ht="15.75" customHeight="1">
      <c r="A77" s="8">
        <v>76.0</v>
      </c>
      <c r="B77" s="9" t="s">
        <v>44</v>
      </c>
      <c r="C77" s="11">
        <v>183.0</v>
      </c>
      <c r="D77" s="11">
        <v>80.0</v>
      </c>
      <c r="E77" s="9" t="s">
        <v>56</v>
      </c>
      <c r="F77" s="11">
        <v>2.0</v>
      </c>
      <c r="G77" s="9" t="s">
        <v>50</v>
      </c>
      <c r="H77" s="9" t="s">
        <v>47</v>
      </c>
      <c r="I77" s="11">
        <v>6.0</v>
      </c>
      <c r="J77" s="11">
        <v>6.8</v>
      </c>
      <c r="K77" s="9" t="s">
        <v>48</v>
      </c>
      <c r="L77" s="9" t="s">
        <v>48</v>
      </c>
      <c r="M77" s="9" t="s">
        <v>48</v>
      </c>
      <c r="N77" s="11">
        <v>4.0</v>
      </c>
    </row>
    <row r="78" ht="15.75" customHeight="1">
      <c r="A78" s="8">
        <v>77.0</v>
      </c>
      <c r="B78" s="9" t="s">
        <v>44</v>
      </c>
      <c r="C78" s="11">
        <v>180.0</v>
      </c>
      <c r="D78" s="11">
        <v>85.0</v>
      </c>
      <c r="E78" s="9" t="s">
        <v>55</v>
      </c>
      <c r="F78" s="11">
        <v>3.0</v>
      </c>
      <c r="G78" s="9" t="s">
        <v>52</v>
      </c>
      <c r="H78" s="9" t="s">
        <v>47</v>
      </c>
      <c r="I78" s="11">
        <v>5.7</v>
      </c>
      <c r="J78" s="11">
        <v>6.4</v>
      </c>
      <c r="K78" s="9" t="s">
        <v>48</v>
      </c>
      <c r="L78" s="9" t="s">
        <v>48</v>
      </c>
      <c r="M78" s="9" t="s">
        <v>48</v>
      </c>
      <c r="N78" s="11">
        <v>10.0</v>
      </c>
    </row>
    <row r="79" ht="15.75" customHeight="1">
      <c r="A79" s="8">
        <v>78.0</v>
      </c>
      <c r="B79" s="9" t="s">
        <v>44</v>
      </c>
      <c r="C79" s="11">
        <v>175.0</v>
      </c>
      <c r="D79" s="11">
        <v>75.0</v>
      </c>
      <c r="E79" s="9" t="s">
        <v>56</v>
      </c>
      <c r="F79" s="11">
        <v>1.0</v>
      </c>
      <c r="G79" s="9" t="s">
        <v>52</v>
      </c>
      <c r="H79" s="9" t="s">
        <v>47</v>
      </c>
      <c r="I79" s="11">
        <v>7.3</v>
      </c>
      <c r="J79" s="11">
        <v>9.5</v>
      </c>
      <c r="K79" s="9" t="s">
        <v>48</v>
      </c>
      <c r="L79" s="9" t="s">
        <v>48</v>
      </c>
      <c r="M79" s="9" t="s">
        <v>48</v>
      </c>
      <c r="N79" s="11">
        <v>5.0</v>
      </c>
    </row>
    <row r="80" ht="15.75" customHeight="1">
      <c r="A80" s="8">
        <v>79.0</v>
      </c>
      <c r="B80" s="9" t="s">
        <v>44</v>
      </c>
      <c r="C80" s="11">
        <v>180.0</v>
      </c>
      <c r="D80" s="11">
        <v>72.0</v>
      </c>
      <c r="E80" s="9" t="s">
        <v>49</v>
      </c>
      <c r="F80" s="11">
        <v>2.0</v>
      </c>
      <c r="G80" s="9" t="s">
        <v>50</v>
      </c>
      <c r="H80" s="9" t="s">
        <v>51</v>
      </c>
      <c r="I80" s="11">
        <v>6.98</v>
      </c>
      <c r="J80" s="11">
        <v>9.3</v>
      </c>
      <c r="K80" s="9" t="s">
        <v>48</v>
      </c>
      <c r="L80" s="9" t="s">
        <v>48</v>
      </c>
      <c r="M80" s="9" t="s">
        <v>48</v>
      </c>
      <c r="N80" s="11">
        <v>2.0</v>
      </c>
    </row>
    <row r="81" ht="15.75" customHeight="1">
      <c r="A81" s="8">
        <v>80.0</v>
      </c>
      <c r="B81" s="9" t="s">
        <v>44</v>
      </c>
      <c r="C81" s="11">
        <v>175.0</v>
      </c>
      <c r="D81" s="11">
        <v>68.0</v>
      </c>
      <c r="E81" s="9" t="s">
        <v>55</v>
      </c>
      <c r="F81" s="11">
        <v>2.0</v>
      </c>
      <c r="G81" s="9" t="s">
        <v>50</v>
      </c>
      <c r="H81" s="9" t="s">
        <v>51</v>
      </c>
      <c r="I81" s="11">
        <v>6.5</v>
      </c>
      <c r="J81" s="11">
        <v>8.4</v>
      </c>
      <c r="K81" s="9" t="s">
        <v>48</v>
      </c>
      <c r="L81" s="9" t="s">
        <v>48</v>
      </c>
      <c r="M81" s="9" t="s">
        <v>48</v>
      </c>
      <c r="N81" s="11">
        <v>2.0</v>
      </c>
    </row>
    <row r="82" ht="15.75" customHeight="1">
      <c r="A82" s="8">
        <v>81.0</v>
      </c>
      <c r="B82" s="9" t="s">
        <v>44</v>
      </c>
      <c r="C82" s="11">
        <v>180.0</v>
      </c>
      <c r="D82" s="11">
        <v>72.0</v>
      </c>
      <c r="E82" s="9" t="s">
        <v>55</v>
      </c>
      <c r="F82" s="11">
        <v>3.0</v>
      </c>
      <c r="G82" s="9" t="s">
        <v>50</v>
      </c>
      <c r="H82" s="9" t="s">
        <v>51</v>
      </c>
      <c r="I82" s="11">
        <v>6.7</v>
      </c>
      <c r="J82" s="11">
        <v>6.3</v>
      </c>
      <c r="K82" s="9" t="s">
        <v>48</v>
      </c>
      <c r="L82" s="9" t="s">
        <v>48</v>
      </c>
      <c r="M82" s="9" t="s">
        <v>48</v>
      </c>
      <c r="N82" s="11">
        <v>1.0</v>
      </c>
    </row>
    <row r="83" ht="15.75" customHeight="1">
      <c r="A83" s="8">
        <v>82.0</v>
      </c>
      <c r="B83" s="9" t="s">
        <v>44</v>
      </c>
      <c r="C83" s="11">
        <v>180.0</v>
      </c>
      <c r="D83" s="11">
        <v>70.0</v>
      </c>
      <c r="E83" s="9" t="s">
        <v>55</v>
      </c>
      <c r="F83" s="11">
        <v>3.0</v>
      </c>
      <c r="G83" s="9" t="s">
        <v>50</v>
      </c>
      <c r="H83" s="9" t="s">
        <v>51</v>
      </c>
      <c r="I83" s="11">
        <v>6.7</v>
      </c>
      <c r="J83" s="11">
        <v>7.0</v>
      </c>
      <c r="K83" s="9" t="s">
        <v>48</v>
      </c>
      <c r="L83" s="9" t="s">
        <v>48</v>
      </c>
      <c r="M83" s="9" t="s">
        <v>48</v>
      </c>
      <c r="N83" s="11">
        <v>30.0</v>
      </c>
    </row>
    <row r="84" ht="15.75" customHeight="1">
      <c r="A84" s="8">
        <v>83.0</v>
      </c>
      <c r="B84" s="9" t="s">
        <v>54</v>
      </c>
      <c r="C84" s="14">
        <v>1.62</v>
      </c>
      <c r="D84" s="11">
        <v>56.0</v>
      </c>
      <c r="E84" s="9" t="s">
        <v>55</v>
      </c>
      <c r="F84" s="11">
        <v>3.0</v>
      </c>
      <c r="G84" s="9" t="s">
        <v>50</v>
      </c>
      <c r="H84" s="9" t="s">
        <v>47</v>
      </c>
      <c r="I84" s="11">
        <v>5.6</v>
      </c>
      <c r="J84" s="11">
        <v>6.7</v>
      </c>
      <c r="K84" s="9" t="s">
        <v>48</v>
      </c>
      <c r="L84" s="9" t="s">
        <v>48</v>
      </c>
      <c r="M84" s="9" t="s">
        <v>48</v>
      </c>
      <c r="N84" s="11">
        <v>7.0</v>
      </c>
    </row>
    <row r="85" ht="15.75" customHeight="1">
      <c r="A85" s="8">
        <v>84.0</v>
      </c>
      <c r="B85" s="9" t="s">
        <v>44</v>
      </c>
      <c r="C85" s="11">
        <v>186.0</v>
      </c>
      <c r="D85" s="11">
        <v>90.0</v>
      </c>
      <c r="E85" s="9" t="s">
        <v>56</v>
      </c>
      <c r="F85" s="11">
        <v>2.0</v>
      </c>
      <c r="G85" s="9" t="s">
        <v>57</v>
      </c>
      <c r="H85" s="9" t="s">
        <v>51</v>
      </c>
      <c r="I85" s="11">
        <v>7.6</v>
      </c>
      <c r="J85" s="11">
        <v>9.0</v>
      </c>
      <c r="K85" s="9" t="s">
        <v>48</v>
      </c>
      <c r="L85" s="9" t="s">
        <v>48</v>
      </c>
      <c r="M85" s="9" t="s">
        <v>48</v>
      </c>
      <c r="N85" s="11">
        <v>8.0</v>
      </c>
    </row>
    <row r="86" ht="15.75" customHeight="1">
      <c r="A86" s="8">
        <v>85.0</v>
      </c>
      <c r="B86" s="9" t="s">
        <v>54</v>
      </c>
      <c r="C86" s="11">
        <v>168.0</v>
      </c>
      <c r="D86" s="11">
        <v>55.0</v>
      </c>
      <c r="E86" s="9" t="s">
        <v>58</v>
      </c>
      <c r="F86" s="11">
        <v>1.0</v>
      </c>
      <c r="G86" s="9" t="s">
        <v>52</v>
      </c>
      <c r="H86" s="9" t="s">
        <v>47</v>
      </c>
      <c r="I86" s="11">
        <v>6.8</v>
      </c>
      <c r="J86" s="11">
        <v>8.2</v>
      </c>
      <c r="K86" s="9" t="s">
        <v>48</v>
      </c>
      <c r="L86" s="9" t="s">
        <v>53</v>
      </c>
      <c r="M86" s="9" t="s">
        <v>48</v>
      </c>
      <c r="N86" s="11">
        <v>5.0</v>
      </c>
    </row>
    <row r="87" ht="15.75" customHeight="1">
      <c r="A87" s="8">
        <v>86.0</v>
      </c>
      <c r="B87" s="9" t="s">
        <v>44</v>
      </c>
      <c r="C87" s="11">
        <v>181.0</v>
      </c>
      <c r="D87" s="11">
        <v>75.0</v>
      </c>
      <c r="E87" s="9" t="s">
        <v>55</v>
      </c>
      <c r="F87" s="11">
        <v>3.0</v>
      </c>
      <c r="G87" s="9" t="s">
        <v>50</v>
      </c>
      <c r="H87" s="9" t="s">
        <v>51</v>
      </c>
      <c r="I87" s="11">
        <v>6.8</v>
      </c>
      <c r="J87" s="11">
        <v>8.7</v>
      </c>
      <c r="K87" s="9" t="s">
        <v>48</v>
      </c>
      <c r="L87" s="9" t="s">
        <v>48</v>
      </c>
      <c r="M87" s="9" t="s">
        <v>48</v>
      </c>
      <c r="N87" s="11">
        <v>14.0</v>
      </c>
    </row>
    <row r="88" ht="15.75" customHeight="1">
      <c r="A88" s="8">
        <v>87.0</v>
      </c>
      <c r="B88" s="9" t="s">
        <v>44</v>
      </c>
      <c r="C88" s="11">
        <v>158.0</v>
      </c>
      <c r="D88" s="11">
        <v>60.0</v>
      </c>
      <c r="E88" s="9" t="s">
        <v>45</v>
      </c>
      <c r="F88" s="11">
        <v>1.0</v>
      </c>
      <c r="G88" s="9" t="s">
        <v>52</v>
      </c>
      <c r="H88" s="9" t="s">
        <v>47</v>
      </c>
      <c r="I88" s="11">
        <v>6.0</v>
      </c>
      <c r="J88" s="11">
        <v>7.0</v>
      </c>
      <c r="K88" s="9" t="s">
        <v>48</v>
      </c>
      <c r="L88" s="9" t="s">
        <v>48</v>
      </c>
      <c r="M88" s="9" t="s">
        <v>48</v>
      </c>
      <c r="N88" s="11">
        <v>5.0</v>
      </c>
    </row>
    <row r="89" ht="15.75" customHeight="1">
      <c r="A89" s="8">
        <v>88.0</v>
      </c>
      <c r="B89" s="9" t="s">
        <v>44</v>
      </c>
      <c r="C89" s="14">
        <v>1.78</v>
      </c>
      <c r="D89" s="11">
        <v>70.0</v>
      </c>
      <c r="E89" s="9" t="s">
        <v>55</v>
      </c>
      <c r="F89" s="11">
        <v>2.0</v>
      </c>
      <c r="G89" s="9" t="s">
        <v>50</v>
      </c>
      <c r="H89" s="9" t="s">
        <v>47</v>
      </c>
      <c r="I89" s="11">
        <v>5.7</v>
      </c>
      <c r="J89" s="11">
        <v>5.5</v>
      </c>
      <c r="K89" s="9" t="s">
        <v>53</v>
      </c>
      <c r="L89" s="9" t="s">
        <v>48</v>
      </c>
      <c r="M89" s="9" t="s">
        <v>48</v>
      </c>
      <c r="N89" s="11">
        <v>12.0</v>
      </c>
    </row>
    <row r="90" ht="15.75" customHeight="1">
      <c r="A90" s="8">
        <v>89.0</v>
      </c>
      <c r="B90" s="9" t="s">
        <v>44</v>
      </c>
      <c r="C90" s="11">
        <v>175.0</v>
      </c>
      <c r="D90" s="11">
        <v>72.0</v>
      </c>
      <c r="E90" s="9" t="s">
        <v>49</v>
      </c>
      <c r="F90" s="11">
        <v>2.0</v>
      </c>
      <c r="G90" s="9" t="s">
        <v>50</v>
      </c>
      <c r="H90" s="9" t="s">
        <v>51</v>
      </c>
      <c r="I90" s="11">
        <v>7.0</v>
      </c>
      <c r="J90" s="11">
        <v>7.03</v>
      </c>
      <c r="K90" s="9" t="s">
        <v>48</v>
      </c>
      <c r="L90" s="9" t="s">
        <v>48</v>
      </c>
      <c r="M90" s="9" t="s">
        <v>48</v>
      </c>
      <c r="N90" s="11">
        <v>2.0</v>
      </c>
    </row>
    <row r="91" ht="15.75" customHeight="1">
      <c r="A91" s="8">
        <v>90.0</v>
      </c>
      <c r="B91" s="9" t="s">
        <v>54</v>
      </c>
      <c r="C91" s="11">
        <v>162.0</v>
      </c>
      <c r="D91" s="11">
        <v>44.0</v>
      </c>
      <c r="E91" s="9" t="s">
        <v>49</v>
      </c>
      <c r="F91" s="11">
        <v>2.0</v>
      </c>
      <c r="G91" s="9" t="s">
        <v>57</v>
      </c>
      <c r="H91" s="9" t="s">
        <v>47</v>
      </c>
      <c r="I91" s="11">
        <v>6.7</v>
      </c>
      <c r="J91" s="11">
        <v>7.3</v>
      </c>
      <c r="K91" s="9" t="s">
        <v>48</v>
      </c>
      <c r="L91" s="9" t="s">
        <v>48</v>
      </c>
      <c r="M91" s="9" t="s">
        <v>48</v>
      </c>
      <c r="N91" s="11">
        <v>70.0</v>
      </c>
    </row>
    <row r="92" ht="15.75" customHeight="1">
      <c r="A92" s="8">
        <v>91.0</v>
      </c>
      <c r="B92" s="9" t="s">
        <v>54</v>
      </c>
      <c r="C92" s="11">
        <v>158.0</v>
      </c>
      <c r="D92" s="11">
        <v>51.0</v>
      </c>
      <c r="E92" s="9" t="s">
        <v>45</v>
      </c>
      <c r="F92" s="11">
        <v>3.0</v>
      </c>
      <c r="G92" s="9" t="s">
        <v>46</v>
      </c>
      <c r="H92" s="9" t="s">
        <v>51</v>
      </c>
      <c r="I92" s="11">
        <v>5.6</v>
      </c>
      <c r="J92" s="11">
        <v>6.73</v>
      </c>
      <c r="K92" s="9" t="s">
        <v>48</v>
      </c>
      <c r="L92" s="9" t="s">
        <v>48</v>
      </c>
      <c r="M92" s="9" t="s">
        <v>48</v>
      </c>
      <c r="N92" s="11">
        <v>20.0</v>
      </c>
    </row>
    <row r="93" ht="15.75" customHeight="1">
      <c r="A93" s="8">
        <v>92.0</v>
      </c>
      <c r="B93" s="13"/>
      <c r="C93" s="11">
        <v>176.0</v>
      </c>
      <c r="D93" s="11">
        <v>60.0</v>
      </c>
      <c r="E93" s="9" t="s">
        <v>49</v>
      </c>
      <c r="F93" s="11">
        <v>1.0</v>
      </c>
      <c r="G93" s="9" t="s">
        <v>50</v>
      </c>
      <c r="H93" s="9" t="s">
        <v>51</v>
      </c>
      <c r="I93" s="11">
        <v>6.5</v>
      </c>
      <c r="J93" s="11">
        <v>6.1</v>
      </c>
      <c r="K93" s="9" t="s">
        <v>48</v>
      </c>
      <c r="L93" s="9" t="s">
        <v>53</v>
      </c>
      <c r="M93" s="9" t="s">
        <v>48</v>
      </c>
      <c r="N93" s="11">
        <v>30.0</v>
      </c>
    </row>
    <row r="94" ht="15.75" customHeight="1">
      <c r="A94" s="8">
        <v>93.0</v>
      </c>
      <c r="B94" s="9" t="s">
        <v>54</v>
      </c>
      <c r="C94" s="14">
        <v>1.72</v>
      </c>
      <c r="D94" s="11">
        <v>63.0</v>
      </c>
      <c r="E94" s="9" t="s">
        <v>45</v>
      </c>
      <c r="F94" s="11">
        <v>2.0</v>
      </c>
      <c r="G94" s="9" t="s">
        <v>52</v>
      </c>
      <c r="H94" s="9" t="s">
        <v>47</v>
      </c>
      <c r="I94" s="11">
        <v>8.5</v>
      </c>
      <c r="J94" s="11">
        <v>8.4</v>
      </c>
      <c r="K94" s="9" t="s">
        <v>48</v>
      </c>
      <c r="L94" s="9" t="s">
        <v>48</v>
      </c>
      <c r="M94" s="9" t="s">
        <v>48</v>
      </c>
      <c r="N94" s="11">
        <v>5.0</v>
      </c>
    </row>
    <row r="95" ht="15.75" customHeight="1">
      <c r="A95" s="8">
        <v>94.0</v>
      </c>
      <c r="B95" s="9" t="s">
        <v>44</v>
      </c>
      <c r="C95" s="11">
        <v>180.0</v>
      </c>
      <c r="D95" s="11">
        <v>63.0</v>
      </c>
      <c r="E95" s="9" t="s">
        <v>55</v>
      </c>
      <c r="F95" s="11">
        <v>3.0</v>
      </c>
      <c r="G95" s="9" t="s">
        <v>50</v>
      </c>
      <c r="H95" s="9" t="s">
        <v>51</v>
      </c>
      <c r="I95" s="11">
        <v>6.9</v>
      </c>
      <c r="J95" s="12">
        <v>0.0</v>
      </c>
      <c r="K95" s="9" t="s">
        <v>48</v>
      </c>
      <c r="L95" s="9" t="s">
        <v>48</v>
      </c>
      <c r="M95" s="9" t="s">
        <v>48</v>
      </c>
      <c r="N95" s="11">
        <v>50.0</v>
      </c>
    </row>
    <row r="96" ht="15.75" customHeight="1">
      <c r="A96" s="8">
        <v>95.0</v>
      </c>
      <c r="B96" s="9" t="s">
        <v>54</v>
      </c>
      <c r="C96" s="11">
        <v>171.0</v>
      </c>
      <c r="D96" s="11">
        <v>62.0</v>
      </c>
      <c r="E96" s="9" t="s">
        <v>45</v>
      </c>
      <c r="F96" s="11">
        <v>2.0</v>
      </c>
      <c r="G96" s="9" t="s">
        <v>50</v>
      </c>
      <c r="H96" s="9" t="s">
        <v>51</v>
      </c>
      <c r="I96" s="11">
        <v>5.8</v>
      </c>
      <c r="J96" s="11">
        <v>5.8</v>
      </c>
      <c r="K96" s="9" t="s">
        <v>48</v>
      </c>
      <c r="L96" s="9" t="s">
        <v>48</v>
      </c>
      <c r="M96" s="9" t="s">
        <v>48</v>
      </c>
      <c r="N96" s="11">
        <v>4.0</v>
      </c>
    </row>
    <row r="97" ht="15.75" customHeight="1">
      <c r="A97" s="8">
        <v>96.0</v>
      </c>
      <c r="B97" s="9" t="s">
        <v>54</v>
      </c>
      <c r="C97" s="11">
        <v>165.0</v>
      </c>
      <c r="D97" s="11">
        <v>54.0</v>
      </c>
      <c r="E97" s="9" t="s">
        <v>49</v>
      </c>
      <c r="F97" s="11">
        <v>1.0</v>
      </c>
      <c r="G97" s="9" t="s">
        <v>50</v>
      </c>
      <c r="H97" s="9" t="s">
        <v>51</v>
      </c>
      <c r="I97" s="11">
        <v>5.6</v>
      </c>
      <c r="J97" s="11">
        <v>6.2</v>
      </c>
      <c r="K97" s="9" t="s">
        <v>48</v>
      </c>
      <c r="L97" s="9" t="s">
        <v>48</v>
      </c>
      <c r="M97" s="9" t="s">
        <v>48</v>
      </c>
      <c r="N97" s="11">
        <v>12.0</v>
      </c>
    </row>
    <row r="98" ht="15.75" customHeight="1">
      <c r="A98" s="8">
        <v>97.0</v>
      </c>
      <c r="B98" s="9" t="s">
        <v>44</v>
      </c>
      <c r="C98" s="11">
        <v>182.0</v>
      </c>
      <c r="D98" s="11">
        <v>65.0</v>
      </c>
      <c r="E98" s="9" t="s">
        <v>55</v>
      </c>
      <c r="F98" s="11">
        <v>2.0</v>
      </c>
      <c r="G98" s="9" t="s">
        <v>50</v>
      </c>
      <c r="H98" s="9" t="s">
        <v>51</v>
      </c>
      <c r="I98" s="11">
        <v>9.1</v>
      </c>
      <c r="J98" s="11">
        <v>10.1</v>
      </c>
      <c r="K98" s="9" t="s">
        <v>48</v>
      </c>
      <c r="L98" s="9" t="s">
        <v>48</v>
      </c>
      <c r="M98" s="9" t="s">
        <v>48</v>
      </c>
      <c r="N98" s="11">
        <v>5.0</v>
      </c>
    </row>
    <row r="99" ht="15.75" customHeight="1">
      <c r="A99" s="8">
        <v>98.0</v>
      </c>
      <c r="B99" s="9" t="s">
        <v>54</v>
      </c>
      <c r="C99" s="11">
        <v>165.0</v>
      </c>
      <c r="D99" s="11">
        <v>65.0</v>
      </c>
      <c r="E99" s="9" t="s">
        <v>45</v>
      </c>
      <c r="F99" s="11">
        <v>1.0</v>
      </c>
      <c r="G99" s="9" t="s">
        <v>57</v>
      </c>
      <c r="H99" s="9" t="s">
        <v>51</v>
      </c>
      <c r="I99" s="11">
        <v>7.8</v>
      </c>
      <c r="J99" s="11">
        <v>9.8</v>
      </c>
      <c r="K99" s="9" t="s">
        <v>48</v>
      </c>
      <c r="L99" s="9" t="s">
        <v>48</v>
      </c>
      <c r="M99" s="9" t="s">
        <v>48</v>
      </c>
      <c r="N99" s="11">
        <v>70.0</v>
      </c>
    </row>
    <row r="100" ht="15.75" customHeight="1">
      <c r="A100" s="8">
        <v>99.0</v>
      </c>
      <c r="B100" s="9" t="s">
        <v>54</v>
      </c>
      <c r="C100" s="14">
        <v>1.65</v>
      </c>
      <c r="D100" s="11">
        <v>57.0</v>
      </c>
      <c r="E100" s="9" t="s">
        <v>45</v>
      </c>
      <c r="F100" s="11">
        <v>2.0</v>
      </c>
      <c r="G100" s="9" t="s">
        <v>52</v>
      </c>
      <c r="H100" s="9" t="s">
        <v>47</v>
      </c>
      <c r="I100" s="11">
        <v>8.25</v>
      </c>
      <c r="J100" s="11">
        <v>11.017</v>
      </c>
      <c r="K100" s="9" t="s">
        <v>48</v>
      </c>
      <c r="L100" s="9" t="s">
        <v>48</v>
      </c>
      <c r="M100" s="9" t="s">
        <v>48</v>
      </c>
      <c r="N100" s="11">
        <v>35.0</v>
      </c>
    </row>
    <row r="101" ht="15.75" customHeight="1">
      <c r="A101" s="8">
        <v>100.0</v>
      </c>
      <c r="B101" s="9" t="s">
        <v>44</v>
      </c>
      <c r="C101" s="11">
        <v>185.0</v>
      </c>
      <c r="D101" s="11">
        <v>57.0</v>
      </c>
      <c r="E101" s="9" t="s">
        <v>55</v>
      </c>
      <c r="F101" s="11">
        <v>2.0</v>
      </c>
      <c r="G101" s="9" t="s">
        <v>50</v>
      </c>
      <c r="H101" s="9" t="s">
        <v>47</v>
      </c>
      <c r="I101" s="11">
        <v>8.0</v>
      </c>
      <c r="J101" s="11">
        <v>8.0</v>
      </c>
      <c r="K101" s="9" t="s">
        <v>48</v>
      </c>
      <c r="L101" s="9" t="s">
        <v>48</v>
      </c>
      <c r="M101" s="9" t="s">
        <v>53</v>
      </c>
      <c r="N101" s="11">
        <v>0.0</v>
      </c>
    </row>
    <row r="102" ht="15.75" customHeight="1">
      <c r="A102" s="8">
        <v>101.0</v>
      </c>
      <c r="B102" s="9" t="s">
        <v>54</v>
      </c>
      <c r="C102" s="11">
        <v>165.0</v>
      </c>
      <c r="D102" s="11">
        <v>50.0</v>
      </c>
      <c r="E102" s="9" t="s">
        <v>55</v>
      </c>
      <c r="F102" s="11">
        <v>2.0</v>
      </c>
      <c r="G102" s="9" t="s">
        <v>50</v>
      </c>
      <c r="H102" s="9" t="s">
        <v>51</v>
      </c>
      <c r="I102" s="11">
        <v>9.7</v>
      </c>
      <c r="J102" s="11">
        <v>12.8</v>
      </c>
      <c r="K102" s="9" t="s">
        <v>48</v>
      </c>
      <c r="L102" s="9" t="s">
        <v>48</v>
      </c>
      <c r="M102" s="9" t="s">
        <v>48</v>
      </c>
      <c r="N102" s="11">
        <v>12.0</v>
      </c>
    </row>
    <row r="103" ht="15.75" customHeight="1">
      <c r="A103" s="8">
        <v>102.0</v>
      </c>
      <c r="B103" s="9" t="s">
        <v>54</v>
      </c>
      <c r="C103" s="11">
        <v>173.0</v>
      </c>
      <c r="D103" s="11">
        <v>67.0</v>
      </c>
      <c r="E103" s="9" t="s">
        <v>55</v>
      </c>
      <c r="F103" s="11">
        <v>2.0</v>
      </c>
      <c r="G103" s="9" t="s">
        <v>46</v>
      </c>
      <c r="H103" s="9" t="s">
        <v>47</v>
      </c>
      <c r="I103" s="11">
        <v>7.2</v>
      </c>
      <c r="J103" s="11">
        <v>6.2</v>
      </c>
      <c r="K103" s="9" t="s">
        <v>48</v>
      </c>
      <c r="L103" s="9" t="s">
        <v>48</v>
      </c>
      <c r="M103" s="9" t="s">
        <v>48</v>
      </c>
      <c r="N103" s="11">
        <v>50.0</v>
      </c>
    </row>
    <row r="104" ht="15.75" customHeight="1">
      <c r="A104" s="8">
        <v>103.0</v>
      </c>
      <c r="B104" s="9" t="s">
        <v>44</v>
      </c>
      <c r="C104" s="11">
        <v>170.0</v>
      </c>
      <c r="D104" s="11">
        <v>72.0</v>
      </c>
      <c r="E104" s="9" t="s">
        <v>49</v>
      </c>
      <c r="F104" s="11">
        <v>3.0</v>
      </c>
      <c r="G104" s="9" t="s">
        <v>50</v>
      </c>
      <c r="H104" s="9" t="s">
        <v>51</v>
      </c>
      <c r="I104" s="11">
        <v>7.0</v>
      </c>
      <c r="J104" s="11">
        <v>10.0</v>
      </c>
      <c r="K104" s="9" t="s">
        <v>48</v>
      </c>
      <c r="L104" s="9" t="s">
        <v>48</v>
      </c>
      <c r="M104" s="9" t="s">
        <v>53</v>
      </c>
      <c r="N104" s="11">
        <v>0.0</v>
      </c>
    </row>
    <row r="105" ht="15.75" customHeight="1">
      <c r="A105" s="8">
        <v>104.0</v>
      </c>
      <c r="B105" s="9" t="s">
        <v>44</v>
      </c>
      <c r="C105" s="11">
        <v>189.0</v>
      </c>
      <c r="D105" s="11">
        <v>79.0</v>
      </c>
      <c r="E105" s="9" t="s">
        <v>55</v>
      </c>
      <c r="F105" s="11">
        <v>2.0</v>
      </c>
      <c r="G105" s="9" t="s">
        <v>50</v>
      </c>
      <c r="H105" s="9" t="s">
        <v>51</v>
      </c>
      <c r="I105" s="11">
        <v>6.2</v>
      </c>
      <c r="J105" s="11">
        <v>7.3</v>
      </c>
      <c r="K105" s="9" t="s">
        <v>48</v>
      </c>
      <c r="L105" s="9" t="s">
        <v>48</v>
      </c>
      <c r="M105" s="9" t="s">
        <v>48</v>
      </c>
      <c r="N105" s="11">
        <v>6.0</v>
      </c>
    </row>
    <row r="106" ht="15.75" customHeight="1">
      <c r="A106" s="8">
        <v>105.0</v>
      </c>
      <c r="B106" s="9" t="s">
        <v>44</v>
      </c>
      <c r="C106" s="11">
        <v>170.0</v>
      </c>
      <c r="D106" s="11">
        <v>64.0</v>
      </c>
      <c r="E106" s="9" t="s">
        <v>49</v>
      </c>
      <c r="F106" s="11">
        <v>3.0</v>
      </c>
      <c r="G106" s="9" t="s">
        <v>46</v>
      </c>
      <c r="H106" s="9" t="s">
        <v>47</v>
      </c>
      <c r="I106" s="11">
        <v>8.0</v>
      </c>
      <c r="J106" s="11">
        <v>8.0</v>
      </c>
      <c r="K106" s="9" t="s">
        <v>48</v>
      </c>
      <c r="L106" s="9" t="s">
        <v>48</v>
      </c>
      <c r="M106" s="9" t="s">
        <v>48</v>
      </c>
      <c r="N106" s="11">
        <v>5.0</v>
      </c>
    </row>
    <row r="107" ht="15.75" customHeight="1">
      <c r="A107" s="8">
        <v>106.0</v>
      </c>
      <c r="B107" s="9" t="s">
        <v>44</v>
      </c>
      <c r="C107" s="11">
        <v>185.0</v>
      </c>
      <c r="D107" s="11">
        <v>95.0</v>
      </c>
      <c r="E107" s="9" t="s">
        <v>49</v>
      </c>
      <c r="F107" s="11">
        <v>2.0</v>
      </c>
      <c r="G107" s="9" t="s">
        <v>46</v>
      </c>
      <c r="H107" s="9" t="s">
        <v>47</v>
      </c>
      <c r="I107" s="11">
        <v>6.0</v>
      </c>
      <c r="J107" s="11">
        <v>8.0</v>
      </c>
      <c r="K107" s="9" t="s">
        <v>48</v>
      </c>
      <c r="L107" s="9" t="s">
        <v>48</v>
      </c>
      <c r="M107" s="9" t="s">
        <v>48</v>
      </c>
      <c r="N107" s="11">
        <v>10.0</v>
      </c>
    </row>
    <row r="108" ht="15.75" customHeight="1">
      <c r="A108" s="8">
        <v>107.0</v>
      </c>
      <c r="B108" s="9" t="s">
        <v>54</v>
      </c>
      <c r="C108" s="11">
        <v>165.0</v>
      </c>
      <c r="D108" s="11">
        <v>58.0</v>
      </c>
      <c r="E108" s="9" t="s">
        <v>45</v>
      </c>
      <c r="F108" s="11">
        <v>2.0</v>
      </c>
      <c r="G108" s="9" t="s">
        <v>50</v>
      </c>
      <c r="H108" s="9" t="s">
        <v>51</v>
      </c>
      <c r="I108" s="11">
        <v>9.0</v>
      </c>
      <c r="J108" s="11">
        <v>11.141</v>
      </c>
      <c r="K108" s="9" t="s">
        <v>48</v>
      </c>
      <c r="L108" s="9" t="s">
        <v>48</v>
      </c>
      <c r="M108" s="9" t="s">
        <v>48</v>
      </c>
      <c r="N108" s="11">
        <v>70.0</v>
      </c>
    </row>
    <row r="109" ht="15.75" customHeight="1">
      <c r="A109" s="8">
        <v>108.0</v>
      </c>
      <c r="B109" s="9" t="s">
        <v>44</v>
      </c>
      <c r="C109" s="11">
        <v>189.0</v>
      </c>
      <c r="D109" s="11">
        <v>83.0</v>
      </c>
      <c r="E109" s="9" t="s">
        <v>55</v>
      </c>
      <c r="F109" s="12">
        <v>0.0</v>
      </c>
      <c r="G109" s="9" t="s">
        <v>46</v>
      </c>
      <c r="H109" s="9" t="s">
        <v>47</v>
      </c>
      <c r="I109" s="11">
        <v>8.1</v>
      </c>
      <c r="J109" s="11">
        <v>11.8</v>
      </c>
      <c r="K109" s="9" t="s">
        <v>48</v>
      </c>
      <c r="L109" s="9" t="s">
        <v>48</v>
      </c>
      <c r="M109" s="9" t="s">
        <v>48</v>
      </c>
      <c r="N109" s="11">
        <v>20.0</v>
      </c>
    </row>
    <row r="110" ht="15.75" customHeight="1">
      <c r="A110" s="8">
        <v>109.0</v>
      </c>
      <c r="B110" s="9" t="s">
        <v>44</v>
      </c>
      <c r="C110" s="11">
        <v>180.0</v>
      </c>
      <c r="D110" s="11">
        <v>75.0</v>
      </c>
      <c r="E110" s="9" t="s">
        <v>49</v>
      </c>
      <c r="F110" s="11">
        <v>2.0</v>
      </c>
      <c r="G110" s="9" t="s">
        <v>57</v>
      </c>
      <c r="H110" s="9" t="s">
        <v>47</v>
      </c>
      <c r="I110" s="11">
        <v>5.5</v>
      </c>
      <c r="J110" s="11">
        <v>6.9</v>
      </c>
      <c r="K110" s="9" t="s">
        <v>48</v>
      </c>
      <c r="L110" s="9" t="s">
        <v>48</v>
      </c>
      <c r="M110" s="9" t="s">
        <v>48</v>
      </c>
      <c r="N110" s="11">
        <v>8.0</v>
      </c>
    </row>
    <row r="111" ht="15.75" customHeight="1">
      <c r="A111" s="8">
        <v>110.0</v>
      </c>
      <c r="B111" s="9" t="s">
        <v>44</v>
      </c>
      <c r="C111" s="11">
        <v>192.0</v>
      </c>
      <c r="D111" s="11">
        <v>83.0</v>
      </c>
      <c r="E111" s="9" t="s">
        <v>56</v>
      </c>
      <c r="F111" s="11">
        <v>2.0</v>
      </c>
      <c r="G111" s="9" t="s">
        <v>50</v>
      </c>
      <c r="H111" s="9" t="s">
        <v>51</v>
      </c>
      <c r="I111" s="11">
        <v>6.0</v>
      </c>
      <c r="J111" s="11">
        <v>5.2</v>
      </c>
      <c r="K111" s="13"/>
      <c r="L111" s="9" t="s">
        <v>48</v>
      </c>
      <c r="M111" s="9" t="s">
        <v>48</v>
      </c>
      <c r="N111" s="11">
        <v>15.0</v>
      </c>
    </row>
    <row r="112" ht="15.75" customHeight="1">
      <c r="A112" s="8">
        <v>111.0</v>
      </c>
      <c r="B112" s="9" t="s">
        <v>44</v>
      </c>
      <c r="C112" s="11">
        <v>193.0</v>
      </c>
      <c r="D112" s="11">
        <v>85.0</v>
      </c>
      <c r="E112" s="9" t="s">
        <v>55</v>
      </c>
      <c r="F112" s="11">
        <v>3.0</v>
      </c>
      <c r="G112" s="9" t="s">
        <v>46</v>
      </c>
      <c r="H112" s="13"/>
      <c r="I112" s="11">
        <v>6.3</v>
      </c>
      <c r="J112" s="11">
        <v>9.2</v>
      </c>
      <c r="K112" s="9" t="s">
        <v>48</v>
      </c>
      <c r="L112" s="9" t="s">
        <v>48</v>
      </c>
      <c r="M112" s="9" t="s">
        <v>48</v>
      </c>
      <c r="N112" s="11">
        <v>10.0</v>
      </c>
    </row>
    <row r="113" ht="15.75" customHeight="1">
      <c r="A113" s="8">
        <v>112.0</v>
      </c>
      <c r="B113" s="9" t="s">
        <v>54</v>
      </c>
      <c r="C113" s="11">
        <v>165.0</v>
      </c>
      <c r="D113" s="11">
        <v>56.0</v>
      </c>
      <c r="E113" s="9" t="s">
        <v>45</v>
      </c>
      <c r="F113" s="11">
        <v>2.0</v>
      </c>
      <c r="G113" s="9" t="s">
        <v>52</v>
      </c>
      <c r="H113" s="9" t="s">
        <v>47</v>
      </c>
      <c r="I113" s="11">
        <v>8.1</v>
      </c>
      <c r="J113" s="11">
        <v>11.2</v>
      </c>
      <c r="K113" s="9" t="s">
        <v>48</v>
      </c>
      <c r="L113" s="9" t="s">
        <v>48</v>
      </c>
      <c r="M113" s="9" t="s">
        <v>48</v>
      </c>
      <c r="N113" s="11">
        <v>5.0</v>
      </c>
    </row>
    <row r="114" ht="15.75" customHeight="1">
      <c r="A114" s="8">
        <v>113.0</v>
      </c>
      <c r="B114" s="9" t="s">
        <v>44</v>
      </c>
      <c r="C114" s="11">
        <v>170.0</v>
      </c>
      <c r="D114" s="11">
        <v>60.0</v>
      </c>
      <c r="E114" s="9" t="s">
        <v>55</v>
      </c>
      <c r="F114" s="11">
        <v>2.0</v>
      </c>
      <c r="G114" s="9" t="s">
        <v>57</v>
      </c>
      <c r="H114" s="9" t="s">
        <v>47</v>
      </c>
      <c r="I114" s="11">
        <v>6.6</v>
      </c>
      <c r="J114" s="11">
        <v>10.017</v>
      </c>
      <c r="K114" s="9" t="s">
        <v>48</v>
      </c>
      <c r="L114" s="9" t="s">
        <v>48</v>
      </c>
      <c r="M114" s="9" t="s">
        <v>48</v>
      </c>
      <c r="N114" s="11">
        <v>5.0</v>
      </c>
    </row>
    <row r="115" ht="15.75" customHeight="1">
      <c r="A115" s="8">
        <v>114.0</v>
      </c>
      <c r="B115" s="9" t="s">
        <v>54</v>
      </c>
      <c r="C115" s="11">
        <v>167.0</v>
      </c>
      <c r="D115" s="11">
        <v>59.0</v>
      </c>
      <c r="E115" s="9" t="s">
        <v>45</v>
      </c>
      <c r="F115" s="11">
        <v>2.0</v>
      </c>
      <c r="G115" s="9" t="s">
        <v>46</v>
      </c>
      <c r="H115" s="9" t="s">
        <v>47</v>
      </c>
      <c r="I115" s="11">
        <v>5.9</v>
      </c>
      <c r="J115" s="11">
        <v>6.2</v>
      </c>
      <c r="K115" s="9" t="s">
        <v>48</v>
      </c>
      <c r="L115" s="9" t="s">
        <v>48</v>
      </c>
      <c r="M115" s="9" t="s">
        <v>48</v>
      </c>
      <c r="N115" s="11">
        <v>1.0</v>
      </c>
    </row>
    <row r="116" ht="15.75" customHeight="1">
      <c r="A116" s="8">
        <v>115.0</v>
      </c>
      <c r="B116" s="9" t="s">
        <v>44</v>
      </c>
      <c r="C116" s="11">
        <v>170.0</v>
      </c>
      <c r="D116" s="11">
        <v>90.0</v>
      </c>
      <c r="E116" s="9" t="s">
        <v>45</v>
      </c>
      <c r="F116" s="11">
        <v>2.0</v>
      </c>
      <c r="G116" s="9" t="s">
        <v>50</v>
      </c>
      <c r="H116" s="9" t="s">
        <v>51</v>
      </c>
      <c r="I116" s="11">
        <v>6.5</v>
      </c>
      <c r="J116" s="11">
        <v>6.5</v>
      </c>
      <c r="K116" s="9" t="s">
        <v>48</v>
      </c>
      <c r="L116" s="9" t="s">
        <v>48</v>
      </c>
      <c r="M116" s="9" t="s">
        <v>48</v>
      </c>
      <c r="N116" s="11">
        <v>1.0</v>
      </c>
    </row>
    <row r="117" ht="15.75" customHeight="1">
      <c r="A117" s="8">
        <v>116.0</v>
      </c>
      <c r="B117" s="9" t="s">
        <v>44</v>
      </c>
      <c r="C117" s="11">
        <v>168.0</v>
      </c>
      <c r="D117" s="11">
        <v>58.0</v>
      </c>
      <c r="E117" s="9" t="s">
        <v>55</v>
      </c>
      <c r="F117" s="11">
        <v>2.0</v>
      </c>
      <c r="G117" s="9" t="s">
        <v>50</v>
      </c>
      <c r="H117" s="9" t="s">
        <v>51</v>
      </c>
      <c r="I117" s="11">
        <v>6.0</v>
      </c>
      <c r="J117" s="11">
        <v>5.0</v>
      </c>
      <c r="K117" s="9" t="s">
        <v>48</v>
      </c>
      <c r="L117" s="9" t="s">
        <v>48</v>
      </c>
      <c r="M117" s="9" t="s">
        <v>48</v>
      </c>
      <c r="N117" s="11">
        <v>10.0</v>
      </c>
    </row>
    <row r="118" ht="15.75" customHeight="1">
      <c r="A118" s="8">
        <v>117.0</v>
      </c>
      <c r="B118" s="9" t="s">
        <v>54</v>
      </c>
      <c r="C118" s="11">
        <v>169.0</v>
      </c>
      <c r="D118" s="11">
        <v>51.0</v>
      </c>
      <c r="E118" s="9" t="s">
        <v>45</v>
      </c>
      <c r="F118" s="12">
        <v>0.0</v>
      </c>
      <c r="G118" s="9" t="s">
        <v>52</v>
      </c>
      <c r="H118" s="9" t="s">
        <v>47</v>
      </c>
      <c r="I118" s="11">
        <v>5.8</v>
      </c>
      <c r="J118" s="11">
        <v>5.2</v>
      </c>
      <c r="K118" s="9" t="s">
        <v>48</v>
      </c>
      <c r="L118" s="9" t="s">
        <v>48</v>
      </c>
      <c r="M118" s="9" t="s">
        <v>48</v>
      </c>
      <c r="N118" s="11">
        <v>10.0</v>
      </c>
    </row>
    <row r="119" ht="15.75" customHeight="1">
      <c r="A119" s="8">
        <v>118.0</v>
      </c>
      <c r="B119" s="9" t="s">
        <v>54</v>
      </c>
      <c r="C119" s="11">
        <v>170.0</v>
      </c>
      <c r="D119" s="11">
        <v>70.0</v>
      </c>
      <c r="E119" s="9" t="s">
        <v>45</v>
      </c>
      <c r="F119" s="11">
        <v>2.0</v>
      </c>
      <c r="G119" s="9" t="s">
        <v>50</v>
      </c>
      <c r="H119" s="9" t="s">
        <v>47</v>
      </c>
      <c r="I119" s="11">
        <v>7.5</v>
      </c>
      <c r="J119" s="11">
        <v>10.5</v>
      </c>
      <c r="K119" s="9" t="s">
        <v>48</v>
      </c>
      <c r="L119" s="9" t="s">
        <v>48</v>
      </c>
      <c r="M119" s="9" t="s">
        <v>48</v>
      </c>
      <c r="N119" s="11">
        <v>70.0</v>
      </c>
    </row>
    <row r="120" ht="15.75" customHeight="1">
      <c r="A120" s="8">
        <v>119.0</v>
      </c>
      <c r="B120" s="9" t="s">
        <v>44</v>
      </c>
      <c r="C120" s="11">
        <v>176.0</v>
      </c>
      <c r="D120" s="11">
        <v>75.0</v>
      </c>
      <c r="E120" s="9" t="s">
        <v>49</v>
      </c>
      <c r="F120" s="12">
        <v>0.0</v>
      </c>
      <c r="G120" s="9" t="s">
        <v>50</v>
      </c>
      <c r="H120" s="9" t="s">
        <v>47</v>
      </c>
      <c r="I120" s="11">
        <v>5.2</v>
      </c>
      <c r="J120" s="11">
        <v>6.3</v>
      </c>
      <c r="K120" s="9" t="s">
        <v>48</v>
      </c>
      <c r="L120" s="9" t="s">
        <v>48</v>
      </c>
      <c r="M120" s="9" t="s">
        <v>48</v>
      </c>
      <c r="N120" s="11">
        <v>12.0</v>
      </c>
    </row>
    <row r="121" ht="15.75" customHeight="1">
      <c r="A121" s="8">
        <v>120.0</v>
      </c>
      <c r="B121" s="9" t="s">
        <v>44</v>
      </c>
      <c r="C121" s="11">
        <v>173.0</v>
      </c>
      <c r="D121" s="11">
        <v>67.0</v>
      </c>
      <c r="E121" s="9" t="s">
        <v>55</v>
      </c>
      <c r="F121" s="11">
        <v>2.0</v>
      </c>
      <c r="G121" s="9" t="s">
        <v>50</v>
      </c>
      <c r="H121" s="9" t="s">
        <v>51</v>
      </c>
      <c r="I121" s="11">
        <v>5.9</v>
      </c>
      <c r="J121" s="11">
        <v>7.4</v>
      </c>
      <c r="K121" s="9" t="s">
        <v>53</v>
      </c>
      <c r="L121" s="9" t="s">
        <v>48</v>
      </c>
      <c r="M121" s="9" t="s">
        <v>48</v>
      </c>
      <c r="N121" s="11">
        <v>10.0</v>
      </c>
    </row>
    <row r="122" ht="15.75" customHeight="1">
      <c r="A122" s="8">
        <v>121.0</v>
      </c>
      <c r="B122" s="9" t="s">
        <v>44</v>
      </c>
      <c r="C122" s="11">
        <v>163.0</v>
      </c>
      <c r="D122" s="11">
        <v>45.0</v>
      </c>
      <c r="E122" s="9" t="s">
        <v>55</v>
      </c>
      <c r="F122" s="11">
        <v>5.0</v>
      </c>
      <c r="G122" s="9" t="s">
        <v>52</v>
      </c>
      <c r="H122" s="9" t="s">
        <v>47</v>
      </c>
      <c r="I122" s="11">
        <v>6.5</v>
      </c>
      <c r="J122" s="11">
        <v>9.0</v>
      </c>
      <c r="K122" s="9" t="s">
        <v>48</v>
      </c>
      <c r="L122" s="9" t="s">
        <v>48</v>
      </c>
      <c r="M122" s="9" t="s">
        <v>48</v>
      </c>
      <c r="N122" s="11">
        <v>7.0</v>
      </c>
    </row>
    <row r="123" ht="15.75" customHeight="1">
      <c r="A123" s="8">
        <v>122.0</v>
      </c>
      <c r="B123" s="9" t="s">
        <v>54</v>
      </c>
      <c r="C123" s="11">
        <v>162.0</v>
      </c>
      <c r="D123" s="11">
        <v>47.0</v>
      </c>
      <c r="E123" s="9" t="s">
        <v>45</v>
      </c>
      <c r="F123" s="11">
        <v>1.0</v>
      </c>
      <c r="G123" s="9" t="s">
        <v>50</v>
      </c>
      <c r="H123" s="9" t="s">
        <v>51</v>
      </c>
      <c r="I123" s="11">
        <v>6.0</v>
      </c>
      <c r="J123" s="11">
        <v>7.0</v>
      </c>
      <c r="K123" s="9" t="s">
        <v>48</v>
      </c>
      <c r="L123" s="9" t="s">
        <v>48</v>
      </c>
      <c r="M123" s="9" t="s">
        <v>48</v>
      </c>
      <c r="N123" s="11">
        <v>5.0</v>
      </c>
    </row>
    <row r="124" ht="15.75" customHeight="1">
      <c r="A124" s="8">
        <v>123.0</v>
      </c>
      <c r="B124" s="9" t="s">
        <v>54</v>
      </c>
      <c r="C124" s="11">
        <v>150.0</v>
      </c>
      <c r="D124" s="11">
        <v>50.0</v>
      </c>
      <c r="E124" s="9" t="s">
        <v>45</v>
      </c>
      <c r="F124" s="11">
        <v>3.0</v>
      </c>
      <c r="G124" s="9" t="s">
        <v>52</v>
      </c>
      <c r="H124" s="9" t="s">
        <v>51</v>
      </c>
      <c r="I124" s="11">
        <v>7.0</v>
      </c>
      <c r="J124" s="11">
        <v>8.0</v>
      </c>
      <c r="K124" s="9" t="s">
        <v>48</v>
      </c>
      <c r="L124" s="9" t="s">
        <v>48</v>
      </c>
      <c r="M124" s="9" t="s">
        <v>48</v>
      </c>
      <c r="N124" s="11">
        <v>0.0</v>
      </c>
    </row>
    <row r="125" ht="15.75" customHeight="1">
      <c r="A125" s="8">
        <v>124.0</v>
      </c>
      <c r="B125" s="13"/>
      <c r="C125" s="11">
        <v>175.0</v>
      </c>
      <c r="D125" s="11">
        <v>72.0</v>
      </c>
      <c r="E125" s="9" t="s">
        <v>49</v>
      </c>
      <c r="F125" s="11">
        <v>2.0</v>
      </c>
      <c r="G125" s="9" t="s">
        <v>46</v>
      </c>
      <c r="H125" s="9" t="s">
        <v>47</v>
      </c>
      <c r="I125" s="11">
        <v>8.0</v>
      </c>
      <c r="J125" s="11">
        <v>9.0</v>
      </c>
      <c r="K125" s="9" t="s">
        <v>48</v>
      </c>
      <c r="L125" s="9" t="s">
        <v>48</v>
      </c>
      <c r="M125" s="9" t="s">
        <v>48</v>
      </c>
      <c r="N125" s="11">
        <v>5.0</v>
      </c>
    </row>
    <row r="126" ht="15.75" customHeight="1">
      <c r="A126" s="8">
        <v>125.0</v>
      </c>
      <c r="B126" s="9" t="s">
        <v>44</v>
      </c>
      <c r="C126" s="11">
        <v>183.0</v>
      </c>
      <c r="D126" s="11">
        <v>65.0</v>
      </c>
      <c r="E126" s="9" t="s">
        <v>55</v>
      </c>
      <c r="F126" s="11">
        <v>1.0</v>
      </c>
      <c r="G126" s="9" t="s">
        <v>46</v>
      </c>
      <c r="H126" s="9" t="s">
        <v>47</v>
      </c>
      <c r="I126" s="11">
        <v>6.0</v>
      </c>
      <c r="J126" s="11">
        <v>4.0</v>
      </c>
      <c r="K126" s="9" t="s">
        <v>48</v>
      </c>
      <c r="L126" s="9" t="s">
        <v>53</v>
      </c>
      <c r="M126" s="9" t="s">
        <v>48</v>
      </c>
      <c r="N126" s="11">
        <v>10.0</v>
      </c>
    </row>
    <row r="127" ht="15.75" customHeight="1">
      <c r="A127" s="8">
        <v>126.0</v>
      </c>
      <c r="B127" s="9" t="s">
        <v>44</v>
      </c>
      <c r="C127" s="11">
        <v>167.0</v>
      </c>
      <c r="D127" s="11">
        <v>65.0</v>
      </c>
      <c r="E127" s="9" t="s">
        <v>55</v>
      </c>
      <c r="F127" s="11">
        <v>2.0</v>
      </c>
      <c r="G127" s="9" t="s">
        <v>52</v>
      </c>
      <c r="H127" s="9" t="s">
        <v>47</v>
      </c>
      <c r="I127" s="11">
        <v>6.0</v>
      </c>
      <c r="J127" s="11">
        <v>7.0</v>
      </c>
      <c r="K127" s="9" t="s">
        <v>48</v>
      </c>
      <c r="L127" s="9" t="s">
        <v>48</v>
      </c>
      <c r="M127" s="9" t="s">
        <v>48</v>
      </c>
      <c r="N127" s="11">
        <v>10.0</v>
      </c>
    </row>
    <row r="128" ht="15.75" customHeight="1">
      <c r="A128" s="8">
        <v>127.0</v>
      </c>
      <c r="B128" s="9" t="s">
        <v>54</v>
      </c>
      <c r="C128" s="11">
        <v>170.0</v>
      </c>
      <c r="D128" s="11">
        <v>58.0</v>
      </c>
      <c r="E128" s="9" t="s">
        <v>58</v>
      </c>
      <c r="F128" s="11">
        <v>2.0</v>
      </c>
      <c r="G128" s="9" t="s">
        <v>46</v>
      </c>
      <c r="H128" s="9" t="s">
        <v>47</v>
      </c>
      <c r="I128" s="11">
        <v>6.12</v>
      </c>
      <c r="J128" s="11">
        <v>9.3</v>
      </c>
      <c r="K128" s="9" t="s">
        <v>48</v>
      </c>
      <c r="L128" s="9" t="s">
        <v>48</v>
      </c>
      <c r="M128" s="9" t="s">
        <v>48</v>
      </c>
      <c r="N128" s="11">
        <v>14.0</v>
      </c>
    </row>
    <row r="129" ht="15.75" customHeight="1">
      <c r="A129" s="8">
        <v>128.0</v>
      </c>
      <c r="B129" s="9" t="s">
        <v>44</v>
      </c>
      <c r="C129" s="11">
        <v>181.0</v>
      </c>
      <c r="D129" s="11">
        <v>78.0</v>
      </c>
      <c r="E129" s="9" t="s">
        <v>49</v>
      </c>
      <c r="F129" s="11">
        <v>2.0</v>
      </c>
      <c r="G129" s="9" t="s">
        <v>52</v>
      </c>
      <c r="H129" s="9" t="s">
        <v>47</v>
      </c>
      <c r="I129" s="11">
        <v>7.0</v>
      </c>
      <c r="J129" s="11">
        <v>5.0</v>
      </c>
      <c r="K129" s="9" t="s">
        <v>48</v>
      </c>
      <c r="L129" s="9" t="s">
        <v>53</v>
      </c>
      <c r="M129" s="9" t="s">
        <v>48</v>
      </c>
      <c r="N129" s="11">
        <v>4.0</v>
      </c>
    </row>
    <row r="130" ht="15.75" customHeight="1">
      <c r="A130" s="8">
        <v>129.0</v>
      </c>
      <c r="B130" s="9" t="s">
        <v>54</v>
      </c>
      <c r="C130" s="11">
        <v>169.0</v>
      </c>
      <c r="D130" s="11">
        <v>57.0</v>
      </c>
      <c r="E130" s="9" t="s">
        <v>58</v>
      </c>
      <c r="F130" s="11">
        <v>1.0</v>
      </c>
      <c r="G130" s="9" t="s">
        <v>46</v>
      </c>
      <c r="H130" s="9" t="s">
        <v>47</v>
      </c>
      <c r="I130" s="11">
        <v>5.7</v>
      </c>
      <c r="J130" s="11">
        <v>7.5</v>
      </c>
      <c r="K130" s="9" t="s">
        <v>48</v>
      </c>
      <c r="L130" s="9" t="s">
        <v>48</v>
      </c>
      <c r="M130" s="9" t="s">
        <v>48</v>
      </c>
      <c r="N130" s="11">
        <v>70.0</v>
      </c>
    </row>
    <row r="131" ht="15.75" customHeight="1">
      <c r="A131" s="8">
        <v>130.0</v>
      </c>
      <c r="B131" s="9" t="s">
        <v>54</v>
      </c>
      <c r="C131" s="11">
        <v>172.0</v>
      </c>
      <c r="D131" s="11">
        <v>52.0</v>
      </c>
      <c r="E131" s="9" t="s">
        <v>58</v>
      </c>
      <c r="F131" s="11">
        <v>6.0</v>
      </c>
      <c r="G131" s="9" t="s">
        <v>46</v>
      </c>
      <c r="H131" s="9" t="s">
        <v>47</v>
      </c>
      <c r="I131" s="11">
        <v>6.0</v>
      </c>
      <c r="J131" s="11">
        <v>5.2</v>
      </c>
      <c r="K131" s="9" t="s">
        <v>48</v>
      </c>
      <c r="L131" s="9" t="s">
        <v>48</v>
      </c>
      <c r="M131" s="9" t="s">
        <v>48</v>
      </c>
      <c r="N131" s="11">
        <v>70.0</v>
      </c>
    </row>
    <row r="132" ht="15.75" customHeight="1">
      <c r="A132" s="8">
        <v>131.0</v>
      </c>
      <c r="B132" s="9" t="s">
        <v>54</v>
      </c>
      <c r="C132" s="11">
        <v>160.0</v>
      </c>
      <c r="D132" s="11">
        <v>48.0</v>
      </c>
      <c r="E132" s="9" t="s">
        <v>55</v>
      </c>
      <c r="F132" s="11">
        <v>3.0</v>
      </c>
      <c r="G132" s="9" t="s">
        <v>50</v>
      </c>
      <c r="H132" s="9" t="s">
        <v>51</v>
      </c>
      <c r="I132" s="11">
        <v>7.5</v>
      </c>
      <c r="J132" s="11">
        <v>8.2</v>
      </c>
      <c r="K132" s="9" t="s">
        <v>48</v>
      </c>
      <c r="L132" s="13"/>
      <c r="M132" s="9" t="s">
        <v>48</v>
      </c>
      <c r="N132" s="11">
        <v>10.0</v>
      </c>
    </row>
    <row r="133" ht="15.75" customHeight="1">
      <c r="A133" s="8">
        <v>132.0</v>
      </c>
      <c r="B133" s="9" t="s">
        <v>54</v>
      </c>
      <c r="C133" s="11">
        <v>173.0</v>
      </c>
      <c r="D133" s="11">
        <v>62.0</v>
      </c>
      <c r="E133" s="9" t="s">
        <v>58</v>
      </c>
      <c r="F133" s="11">
        <v>2.0</v>
      </c>
      <c r="G133" s="9" t="s">
        <v>50</v>
      </c>
      <c r="H133" s="9" t="s">
        <v>51</v>
      </c>
      <c r="I133" s="11">
        <v>7.6</v>
      </c>
      <c r="J133" s="11">
        <v>10.47</v>
      </c>
      <c r="K133" s="9" t="s">
        <v>48</v>
      </c>
      <c r="L133" s="9" t="s">
        <v>48</v>
      </c>
      <c r="M133" s="9" t="s">
        <v>48</v>
      </c>
      <c r="N133" s="11">
        <v>68.0</v>
      </c>
    </row>
    <row r="134" ht="15.75" customHeight="1">
      <c r="A134" s="8">
        <v>133.0</v>
      </c>
      <c r="B134" s="9" t="s">
        <v>44</v>
      </c>
      <c r="C134" s="11">
        <v>182.0</v>
      </c>
      <c r="D134" s="11">
        <v>64.0</v>
      </c>
      <c r="E134" s="9" t="s">
        <v>55</v>
      </c>
      <c r="F134" s="11">
        <v>1.0</v>
      </c>
      <c r="G134" s="9" t="s">
        <v>50</v>
      </c>
      <c r="H134" s="9" t="s">
        <v>47</v>
      </c>
      <c r="I134" s="11">
        <v>6.5</v>
      </c>
      <c r="J134" s="11">
        <v>8.01</v>
      </c>
      <c r="K134" s="9" t="s">
        <v>48</v>
      </c>
      <c r="L134" s="9" t="s">
        <v>48</v>
      </c>
      <c r="M134" s="9" t="s">
        <v>53</v>
      </c>
      <c r="N134" s="11">
        <v>0.0</v>
      </c>
    </row>
    <row r="135" ht="15.75" customHeight="1">
      <c r="A135" s="8">
        <v>134.0</v>
      </c>
      <c r="B135" s="9" t="s">
        <v>54</v>
      </c>
      <c r="C135" s="11">
        <v>168.0</v>
      </c>
      <c r="D135" s="11">
        <v>58.0</v>
      </c>
      <c r="E135" s="9" t="s">
        <v>45</v>
      </c>
      <c r="F135" s="11">
        <v>3.0</v>
      </c>
      <c r="G135" s="9" t="s">
        <v>57</v>
      </c>
      <c r="H135" s="9" t="s">
        <v>47</v>
      </c>
      <c r="I135" s="11">
        <v>5.3</v>
      </c>
      <c r="J135" s="11">
        <v>6.2</v>
      </c>
      <c r="K135" s="9" t="s">
        <v>48</v>
      </c>
      <c r="L135" s="9" t="s">
        <v>48</v>
      </c>
      <c r="M135" s="9" t="s">
        <v>48</v>
      </c>
      <c r="N135" s="11">
        <v>5.0</v>
      </c>
    </row>
    <row r="136" ht="15.75" customHeight="1">
      <c r="A136" s="8">
        <v>135.0</v>
      </c>
      <c r="B136" s="9" t="s">
        <v>54</v>
      </c>
      <c r="C136" s="11">
        <v>163.0</v>
      </c>
      <c r="D136" s="11">
        <v>62.0</v>
      </c>
      <c r="E136" s="9" t="s">
        <v>45</v>
      </c>
      <c r="F136" s="11">
        <v>2.0</v>
      </c>
      <c r="G136" s="9" t="s">
        <v>57</v>
      </c>
      <c r="H136" s="9" t="s">
        <v>47</v>
      </c>
      <c r="I136" s="11">
        <v>8.0</v>
      </c>
      <c r="J136" s="11">
        <v>10.5</v>
      </c>
      <c r="K136" s="9" t="s">
        <v>48</v>
      </c>
      <c r="L136" s="9" t="s">
        <v>48</v>
      </c>
      <c r="M136" s="9" t="s">
        <v>48</v>
      </c>
      <c r="N136" s="11">
        <v>65.0</v>
      </c>
    </row>
    <row r="137" ht="15.75" customHeight="1">
      <c r="A137" s="8">
        <v>136.0</v>
      </c>
      <c r="B137" s="9" t="s">
        <v>54</v>
      </c>
      <c r="C137" s="14">
        <v>1.6</v>
      </c>
      <c r="D137" s="11">
        <v>53.0</v>
      </c>
      <c r="E137" s="9" t="s">
        <v>45</v>
      </c>
      <c r="F137" s="11">
        <v>2.0</v>
      </c>
      <c r="G137" s="9" t="s">
        <v>57</v>
      </c>
      <c r="H137" s="9" t="s">
        <v>51</v>
      </c>
      <c r="I137" s="11">
        <v>5.3</v>
      </c>
      <c r="J137" s="11">
        <v>5.7</v>
      </c>
      <c r="K137" s="9" t="s">
        <v>48</v>
      </c>
      <c r="L137" s="9" t="s">
        <v>48</v>
      </c>
      <c r="M137" s="9" t="s">
        <v>48</v>
      </c>
      <c r="N137" s="11">
        <v>50.0</v>
      </c>
    </row>
    <row r="138" ht="15.75" customHeight="1">
      <c r="A138" s="8">
        <v>137.0</v>
      </c>
      <c r="B138" s="9" t="s">
        <v>44</v>
      </c>
      <c r="C138" s="11">
        <v>180.0</v>
      </c>
      <c r="D138" s="11">
        <v>75.0</v>
      </c>
      <c r="E138" s="9" t="s">
        <v>49</v>
      </c>
      <c r="F138" s="12">
        <v>0.0</v>
      </c>
      <c r="G138" s="9" t="s">
        <v>50</v>
      </c>
      <c r="H138" s="9" t="s">
        <v>47</v>
      </c>
      <c r="I138" s="11">
        <v>7.0</v>
      </c>
      <c r="J138" s="11">
        <v>7.9</v>
      </c>
      <c r="K138" s="9" t="s">
        <v>48</v>
      </c>
      <c r="L138" s="9" t="s">
        <v>48</v>
      </c>
      <c r="M138" s="9" t="s">
        <v>48</v>
      </c>
      <c r="N138" s="11">
        <v>12.0</v>
      </c>
    </row>
    <row r="139" ht="15.75" customHeight="1">
      <c r="A139" s="8">
        <v>138.0</v>
      </c>
      <c r="B139" s="9" t="s">
        <v>44</v>
      </c>
      <c r="C139" s="11">
        <v>177.0</v>
      </c>
      <c r="D139" s="11">
        <v>80.0</v>
      </c>
      <c r="E139" s="9" t="s">
        <v>55</v>
      </c>
      <c r="F139" s="12">
        <v>0.0</v>
      </c>
      <c r="G139" s="9" t="s">
        <v>50</v>
      </c>
      <c r="H139" s="9" t="s">
        <v>47</v>
      </c>
      <c r="I139" s="11">
        <v>6.3</v>
      </c>
      <c r="J139" s="11">
        <v>5.85</v>
      </c>
      <c r="K139" s="9" t="s">
        <v>48</v>
      </c>
      <c r="L139" s="9" t="s">
        <v>48</v>
      </c>
      <c r="M139" s="9" t="s">
        <v>48</v>
      </c>
      <c r="N139" s="11">
        <v>13.0</v>
      </c>
    </row>
    <row r="140" ht="15.75" customHeight="1">
      <c r="A140" s="8">
        <v>139.0</v>
      </c>
      <c r="B140" s="9" t="s">
        <v>44</v>
      </c>
      <c r="C140" s="11">
        <v>174.0</v>
      </c>
      <c r="D140" s="11">
        <v>80.0</v>
      </c>
      <c r="E140" s="9" t="s">
        <v>55</v>
      </c>
      <c r="F140" s="11">
        <v>3.0</v>
      </c>
      <c r="G140" s="9" t="s">
        <v>50</v>
      </c>
      <c r="H140" s="9" t="s">
        <v>47</v>
      </c>
      <c r="I140" s="11">
        <v>6.0</v>
      </c>
      <c r="J140" s="11">
        <v>6.0</v>
      </c>
      <c r="K140" s="9" t="s">
        <v>48</v>
      </c>
      <c r="L140" s="9" t="s">
        <v>48</v>
      </c>
      <c r="M140" s="9" t="s">
        <v>48</v>
      </c>
      <c r="N140" s="11">
        <v>2.0</v>
      </c>
    </row>
    <row r="141" ht="15.75" customHeight="1">
      <c r="A141" s="8">
        <v>140.0</v>
      </c>
      <c r="B141" s="9" t="s">
        <v>54</v>
      </c>
      <c r="C141" s="11">
        <v>160.0</v>
      </c>
      <c r="D141" s="11">
        <v>50.0</v>
      </c>
      <c r="E141" s="9" t="s">
        <v>45</v>
      </c>
      <c r="F141" s="11">
        <v>2.0</v>
      </c>
      <c r="G141" s="9" t="s">
        <v>46</v>
      </c>
      <c r="H141" s="9" t="s">
        <v>47</v>
      </c>
      <c r="I141" s="11">
        <v>5.41</v>
      </c>
      <c r="J141" s="11">
        <v>5.2</v>
      </c>
      <c r="K141" s="9" t="s">
        <v>48</v>
      </c>
      <c r="L141" s="9" t="s">
        <v>48</v>
      </c>
      <c r="M141" s="9" t="s">
        <v>48</v>
      </c>
      <c r="N141" s="11">
        <v>6.0</v>
      </c>
    </row>
    <row r="142" ht="15.75" customHeight="1">
      <c r="A142" s="8">
        <v>141.0</v>
      </c>
      <c r="B142" s="9" t="s">
        <v>54</v>
      </c>
      <c r="C142" s="11">
        <v>160.0</v>
      </c>
      <c r="D142" s="11">
        <v>52.0</v>
      </c>
      <c r="E142" s="9" t="s">
        <v>45</v>
      </c>
      <c r="F142" s="11">
        <v>1.0</v>
      </c>
      <c r="G142" s="9" t="s">
        <v>50</v>
      </c>
      <c r="H142" s="9" t="s">
        <v>47</v>
      </c>
      <c r="I142" s="11">
        <v>5.6</v>
      </c>
      <c r="J142" s="11">
        <v>6.0</v>
      </c>
      <c r="K142" s="9" t="s">
        <v>48</v>
      </c>
      <c r="L142" s="9" t="s">
        <v>48</v>
      </c>
      <c r="M142" s="9" t="s">
        <v>48</v>
      </c>
      <c r="N142" s="11">
        <v>6.0</v>
      </c>
    </row>
    <row r="143" ht="15.75" customHeight="1">
      <c r="A143" s="8">
        <v>142.0</v>
      </c>
      <c r="B143" s="9" t="s">
        <v>44</v>
      </c>
      <c r="C143" s="11">
        <v>190.0</v>
      </c>
      <c r="D143" s="11">
        <v>85.0</v>
      </c>
      <c r="E143" s="9" t="s">
        <v>45</v>
      </c>
      <c r="F143" s="11">
        <v>2.0</v>
      </c>
      <c r="G143" s="9" t="s">
        <v>46</v>
      </c>
      <c r="H143" s="9" t="s">
        <v>47</v>
      </c>
      <c r="I143" s="11">
        <v>6.0</v>
      </c>
      <c r="J143" s="11">
        <v>8.0</v>
      </c>
      <c r="K143" s="9" t="s">
        <v>48</v>
      </c>
      <c r="L143" s="9" t="s">
        <v>48</v>
      </c>
      <c r="M143" s="9" t="s">
        <v>48</v>
      </c>
      <c r="N143" s="11">
        <v>2.0</v>
      </c>
    </row>
    <row r="144" ht="15.75" customHeight="1">
      <c r="A144" s="15" t="s">
        <v>59</v>
      </c>
      <c r="B144" s="16">
        <v>0.0</v>
      </c>
      <c r="C144" s="17">
        <v>3.0</v>
      </c>
      <c r="D144" s="18">
        <v>5.0</v>
      </c>
      <c r="E144" s="18">
        <v>0.0</v>
      </c>
      <c r="F144" s="18">
        <f>COUNTIF(F2:F143,0)</f>
        <v>15</v>
      </c>
      <c r="G144" s="18">
        <v>0.0</v>
      </c>
      <c r="H144" s="18">
        <v>0.0</v>
      </c>
      <c r="I144" s="18">
        <v>6.0</v>
      </c>
      <c r="J144" s="18">
        <v>11.0</v>
      </c>
      <c r="K144" s="18">
        <v>0.0</v>
      </c>
      <c r="L144" s="18">
        <v>0.0</v>
      </c>
      <c r="M144" s="18">
        <v>0.0</v>
      </c>
      <c r="N144" s="18">
        <v>6.0</v>
      </c>
    </row>
    <row r="145" ht="15.75" customHeight="1">
      <c r="A145" s="19" t="s">
        <v>60</v>
      </c>
      <c r="B145" s="20">
        <v>0.0</v>
      </c>
      <c r="C145" s="21">
        <f>COUNTIF(C2:C143,"&lt;=120")-COUNTIF(C2:C143,0)</f>
        <v>14</v>
      </c>
      <c r="D145" s="21">
        <v>0.0</v>
      </c>
      <c r="E145" s="21">
        <v>0.0</v>
      </c>
      <c r="F145" s="21">
        <v>0.0</v>
      </c>
      <c r="G145" s="21">
        <v>0.0</v>
      </c>
      <c r="H145" s="21">
        <v>0.0</v>
      </c>
      <c r="I145" s="21">
        <v>0.0</v>
      </c>
      <c r="J145" s="21">
        <v>0.0</v>
      </c>
      <c r="K145" s="21">
        <v>0.0</v>
      </c>
      <c r="L145" s="21">
        <v>0.0</v>
      </c>
      <c r="M145" s="21">
        <v>0.0</v>
      </c>
      <c r="N145" s="21">
        <v>0.0</v>
      </c>
    </row>
    <row r="146" ht="15.75" customHeight="1">
      <c r="A146" s="22" t="s">
        <v>61</v>
      </c>
      <c r="B146" s="13">
        <f t="shared" ref="B146:N146" si="1">COUNTBLANK(B2:B143)</f>
        <v>3</v>
      </c>
      <c r="C146" s="13">
        <f t="shared" si="1"/>
        <v>0</v>
      </c>
      <c r="D146" s="13">
        <f t="shared" si="1"/>
        <v>0</v>
      </c>
      <c r="E146" s="13">
        <f t="shared" si="1"/>
        <v>2</v>
      </c>
      <c r="F146" s="13">
        <f t="shared" si="1"/>
        <v>0</v>
      </c>
      <c r="G146" s="13">
        <f t="shared" si="1"/>
        <v>3</v>
      </c>
      <c r="H146" s="13">
        <f t="shared" si="1"/>
        <v>4</v>
      </c>
      <c r="I146" s="13">
        <f t="shared" si="1"/>
        <v>0</v>
      </c>
      <c r="J146" s="13">
        <f t="shared" si="1"/>
        <v>0</v>
      </c>
      <c r="K146" s="13">
        <f t="shared" si="1"/>
        <v>4</v>
      </c>
      <c r="L146" s="13">
        <f t="shared" si="1"/>
        <v>4</v>
      </c>
      <c r="M146" s="13">
        <f t="shared" si="1"/>
        <v>3</v>
      </c>
      <c r="N146" s="13">
        <f t="shared" si="1"/>
        <v>0</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3" width="17.29"/>
    <col customWidth="1" min="4" max="4" width="15.57"/>
    <col customWidth="1" min="5" max="5" width="9.14"/>
    <col customWidth="1" min="6" max="6" width="13.29"/>
    <col customWidth="1" min="7" max="7" width="43.14"/>
    <col customWidth="1" min="8" max="8" width="12.29"/>
    <col customWidth="1" min="9" max="9" width="16.29"/>
    <col customWidth="1" min="10" max="10" width="39.43"/>
    <col customWidth="1" min="11" max="11" width="12.14"/>
    <col customWidth="1" min="12" max="12" width="17.14"/>
    <col customWidth="1" min="13" max="13" width="13.57"/>
    <col customWidth="1" min="14" max="14" width="14.29"/>
    <col customWidth="1" min="15" max="15" width="15.86"/>
    <col customWidth="1" min="16" max="17" width="12.43"/>
    <col customWidth="1" min="18" max="18" width="10.29"/>
    <col customWidth="1" min="19" max="19" width="15.43"/>
    <col customWidth="1" min="20" max="20" width="13.0"/>
    <col customWidth="1" min="21" max="21" width="12.43"/>
    <col customWidth="1" min="22" max="26" width="9.14"/>
  </cols>
  <sheetData>
    <row r="1">
      <c r="A1" s="6" t="s">
        <v>41</v>
      </c>
      <c r="B1" s="7" t="s">
        <v>29</v>
      </c>
      <c r="C1" s="7" t="s">
        <v>2</v>
      </c>
      <c r="D1" s="7" t="s">
        <v>4</v>
      </c>
      <c r="E1" s="7" t="s">
        <v>6</v>
      </c>
      <c r="F1" s="7" t="s">
        <v>31</v>
      </c>
      <c r="G1" s="7" t="s">
        <v>8</v>
      </c>
      <c r="H1" s="7" t="s">
        <v>10</v>
      </c>
      <c r="I1" s="7" t="s">
        <v>33</v>
      </c>
      <c r="J1" s="7" t="s">
        <v>12</v>
      </c>
      <c r="K1" s="7" t="s">
        <v>35</v>
      </c>
      <c r="L1" s="7" t="s">
        <v>14</v>
      </c>
      <c r="M1" s="7" t="s">
        <v>42</v>
      </c>
      <c r="N1" s="7" t="s">
        <v>62</v>
      </c>
      <c r="O1" s="7" t="s">
        <v>37</v>
      </c>
      <c r="P1" s="7" t="s">
        <v>20</v>
      </c>
      <c r="Q1" s="7" t="s">
        <v>39</v>
      </c>
      <c r="R1" s="7" t="s">
        <v>22</v>
      </c>
      <c r="S1" s="7" t="s">
        <v>40</v>
      </c>
      <c r="T1" s="7" t="s">
        <v>63</v>
      </c>
      <c r="U1" s="7" t="s">
        <v>26</v>
      </c>
    </row>
    <row r="2">
      <c r="A2" s="8">
        <v>1.0</v>
      </c>
      <c r="B2" s="9">
        <v>1.0</v>
      </c>
      <c r="C2" s="9" t="s">
        <v>44</v>
      </c>
      <c r="D2" s="23"/>
      <c r="E2" s="23"/>
      <c r="F2" s="9">
        <v>1.0</v>
      </c>
      <c r="G2" s="9" t="s">
        <v>45</v>
      </c>
      <c r="H2" s="23"/>
      <c r="I2" s="9">
        <v>3.0</v>
      </c>
      <c r="J2" s="9" t="s">
        <v>46</v>
      </c>
      <c r="K2" s="9">
        <v>0.0</v>
      </c>
      <c r="L2" s="9" t="s">
        <v>47</v>
      </c>
      <c r="M2" s="23"/>
      <c r="N2" s="23"/>
      <c r="O2" s="24">
        <v>1.0</v>
      </c>
      <c r="P2" s="24" t="s">
        <v>48</v>
      </c>
      <c r="Q2" s="24">
        <v>1.0</v>
      </c>
      <c r="R2" s="24" t="s">
        <v>48</v>
      </c>
      <c r="S2" s="24">
        <v>1.0</v>
      </c>
      <c r="T2" s="24" t="s">
        <v>48</v>
      </c>
      <c r="U2" s="23"/>
    </row>
    <row r="3">
      <c r="A3" s="8">
        <v>2.0</v>
      </c>
      <c r="B3" s="9">
        <v>1.0</v>
      </c>
      <c r="C3" s="9" t="s">
        <v>44</v>
      </c>
      <c r="D3" s="23"/>
      <c r="E3" s="23"/>
      <c r="F3" s="9">
        <v>3.0</v>
      </c>
      <c r="G3" s="9" t="s">
        <v>49</v>
      </c>
      <c r="H3" s="23"/>
      <c r="I3" s="9">
        <v>0.0</v>
      </c>
      <c r="J3" s="9" t="s">
        <v>50</v>
      </c>
      <c r="K3" s="9">
        <v>1.0</v>
      </c>
      <c r="L3" s="9" t="s">
        <v>51</v>
      </c>
      <c r="M3" s="23"/>
      <c r="N3" s="23"/>
      <c r="O3" s="24">
        <v>1.0</v>
      </c>
      <c r="P3" s="24" t="s">
        <v>48</v>
      </c>
      <c r="Q3" s="24">
        <v>1.0</v>
      </c>
      <c r="R3" s="24" t="s">
        <v>48</v>
      </c>
      <c r="S3" s="24">
        <v>1.0</v>
      </c>
      <c r="T3" s="24" t="s">
        <v>48</v>
      </c>
      <c r="U3" s="23"/>
    </row>
    <row r="4">
      <c r="A4" s="8">
        <v>3.0</v>
      </c>
      <c r="B4" s="9">
        <v>1.0</v>
      </c>
      <c r="C4" s="9" t="s">
        <v>44</v>
      </c>
      <c r="D4" s="23"/>
      <c r="E4" s="23"/>
      <c r="F4" s="9">
        <v>3.0</v>
      </c>
      <c r="G4" s="9" t="s">
        <v>49</v>
      </c>
      <c r="H4" s="23"/>
      <c r="I4" s="9">
        <v>2.0</v>
      </c>
      <c r="J4" s="9" t="s">
        <v>52</v>
      </c>
      <c r="K4" s="9">
        <v>0.0</v>
      </c>
      <c r="L4" s="9" t="s">
        <v>47</v>
      </c>
      <c r="M4" s="23"/>
      <c r="N4" s="23"/>
      <c r="O4" s="24">
        <v>1.0</v>
      </c>
      <c r="P4" s="24" t="s">
        <v>48</v>
      </c>
      <c r="Q4" s="24">
        <v>0.0</v>
      </c>
      <c r="R4" s="24" t="s">
        <v>53</v>
      </c>
      <c r="S4" s="24">
        <v>1.0</v>
      </c>
      <c r="T4" s="24" t="s">
        <v>48</v>
      </c>
      <c r="U4" s="23"/>
    </row>
    <row r="5">
      <c r="A5" s="8">
        <v>4.0</v>
      </c>
      <c r="B5" s="9">
        <v>0.0</v>
      </c>
      <c r="C5" s="9" t="s">
        <v>54</v>
      </c>
      <c r="D5" s="11">
        <v>162.0</v>
      </c>
      <c r="E5" s="11">
        <v>52.5</v>
      </c>
      <c r="F5" s="9">
        <v>2.0</v>
      </c>
      <c r="G5" s="9" t="s">
        <v>55</v>
      </c>
      <c r="H5" s="11">
        <v>4.0</v>
      </c>
      <c r="I5" s="9">
        <v>0.0</v>
      </c>
      <c r="J5" s="9" t="s">
        <v>50</v>
      </c>
      <c r="K5" s="9">
        <v>0.0</v>
      </c>
      <c r="L5" s="9" t="s">
        <v>47</v>
      </c>
      <c r="M5" s="11">
        <v>9.0</v>
      </c>
      <c r="N5" s="11">
        <v>11.0</v>
      </c>
      <c r="O5" s="24">
        <v>1.0</v>
      </c>
      <c r="P5" s="24" t="s">
        <v>48</v>
      </c>
      <c r="Q5" s="24">
        <v>1.0</v>
      </c>
      <c r="R5" s="24" t="s">
        <v>48</v>
      </c>
      <c r="S5" s="24">
        <v>0.0</v>
      </c>
      <c r="T5" s="24" t="s">
        <v>53</v>
      </c>
      <c r="U5" s="23">
        <v>0.0</v>
      </c>
    </row>
    <row r="6">
      <c r="A6" s="8">
        <v>5.0</v>
      </c>
      <c r="B6" s="9">
        <v>1.0</v>
      </c>
      <c r="C6" s="9" t="s">
        <v>44</v>
      </c>
      <c r="D6" s="11">
        <v>182.0</v>
      </c>
      <c r="E6" s="11">
        <v>76.0</v>
      </c>
      <c r="F6" s="9">
        <v>3.0</v>
      </c>
      <c r="G6" s="9" t="s">
        <v>49</v>
      </c>
      <c r="H6" s="11">
        <v>2.0</v>
      </c>
      <c r="I6" s="9">
        <v>2.0</v>
      </c>
      <c r="J6" s="9" t="s">
        <v>52</v>
      </c>
      <c r="K6" s="9">
        <v>0.0</v>
      </c>
      <c r="L6" s="9" t="s">
        <v>47</v>
      </c>
      <c r="M6" s="11">
        <v>7.0</v>
      </c>
      <c r="N6" s="11">
        <v>7.0</v>
      </c>
      <c r="O6" s="24">
        <v>1.0</v>
      </c>
      <c r="P6" s="24" t="s">
        <v>48</v>
      </c>
      <c r="Q6" s="24">
        <v>1.0</v>
      </c>
      <c r="R6" s="24" t="s">
        <v>48</v>
      </c>
      <c r="S6" s="24">
        <v>1.0</v>
      </c>
      <c r="T6" s="24" t="s">
        <v>48</v>
      </c>
      <c r="U6" s="23">
        <v>10.0</v>
      </c>
    </row>
    <row r="7">
      <c r="A7" s="8">
        <v>6.0</v>
      </c>
      <c r="B7" s="9">
        <v>1.0</v>
      </c>
      <c r="C7" s="9" t="s">
        <v>44</v>
      </c>
      <c r="D7" s="11">
        <v>185.0</v>
      </c>
      <c r="E7" s="11">
        <v>84.0</v>
      </c>
      <c r="F7" s="9">
        <v>4.0</v>
      </c>
      <c r="G7" s="9" t="s">
        <v>56</v>
      </c>
      <c r="H7" s="11">
        <v>2.0</v>
      </c>
      <c r="I7" s="9">
        <v>0.0</v>
      </c>
      <c r="J7" s="9" t="s">
        <v>50</v>
      </c>
      <c r="K7" s="9">
        <v>0.0</v>
      </c>
      <c r="L7" s="9" t="s">
        <v>47</v>
      </c>
      <c r="M7" s="11">
        <v>6.0</v>
      </c>
      <c r="N7" s="23"/>
      <c r="O7" s="24">
        <v>1.0</v>
      </c>
      <c r="P7" s="24" t="s">
        <v>48</v>
      </c>
      <c r="Q7" s="24">
        <v>1.0</v>
      </c>
      <c r="R7" s="24" t="s">
        <v>48</v>
      </c>
      <c r="S7" s="24">
        <v>1.0</v>
      </c>
      <c r="T7" s="24" t="s">
        <v>48</v>
      </c>
      <c r="U7" s="23">
        <v>2.0</v>
      </c>
    </row>
    <row r="8">
      <c r="A8" s="8">
        <v>7.0</v>
      </c>
      <c r="B8" s="9">
        <v>1.0</v>
      </c>
      <c r="C8" s="9" t="s">
        <v>44</v>
      </c>
      <c r="D8" s="11">
        <v>170.0</v>
      </c>
      <c r="E8" s="11">
        <v>60.0</v>
      </c>
      <c r="F8" s="9">
        <v>1.0</v>
      </c>
      <c r="G8" s="9" t="s">
        <v>45</v>
      </c>
      <c r="H8" s="11">
        <v>3.0</v>
      </c>
      <c r="I8" s="9">
        <v>0.0</v>
      </c>
      <c r="J8" s="9" t="s">
        <v>50</v>
      </c>
      <c r="K8" s="9">
        <v>0.0</v>
      </c>
      <c r="L8" s="9" t="s">
        <v>47</v>
      </c>
      <c r="M8" s="11">
        <v>8.0</v>
      </c>
      <c r="N8" s="11">
        <v>8.0</v>
      </c>
      <c r="O8" s="24">
        <v>1.0</v>
      </c>
      <c r="P8" s="24" t="s">
        <v>48</v>
      </c>
      <c r="Q8" s="24">
        <v>1.0</v>
      </c>
      <c r="R8" s="24" t="s">
        <v>48</v>
      </c>
      <c r="S8" s="24">
        <v>1.0</v>
      </c>
      <c r="T8" s="24" t="s">
        <v>48</v>
      </c>
      <c r="U8" s="23">
        <v>30.0</v>
      </c>
    </row>
    <row r="9">
      <c r="A9" s="8">
        <v>8.0</v>
      </c>
      <c r="B9" s="9">
        <v>0.0</v>
      </c>
      <c r="C9" s="9" t="s">
        <v>54</v>
      </c>
      <c r="D9" s="11">
        <v>172.0</v>
      </c>
      <c r="E9" s="11">
        <v>72.0</v>
      </c>
      <c r="F9" s="9">
        <v>2.0</v>
      </c>
      <c r="G9" s="9" t="s">
        <v>55</v>
      </c>
      <c r="H9" s="11">
        <v>2.0</v>
      </c>
      <c r="I9" s="9">
        <v>1.0</v>
      </c>
      <c r="J9" s="9" t="s">
        <v>57</v>
      </c>
      <c r="K9" s="9">
        <v>0.0</v>
      </c>
      <c r="L9" s="9" t="s">
        <v>47</v>
      </c>
      <c r="M9" s="11">
        <v>6.9</v>
      </c>
      <c r="N9" s="11">
        <v>8.9</v>
      </c>
      <c r="O9" s="24">
        <v>1.0</v>
      </c>
      <c r="P9" s="24" t="s">
        <v>48</v>
      </c>
      <c r="Q9" s="24">
        <v>1.0</v>
      </c>
      <c r="R9" s="24" t="s">
        <v>48</v>
      </c>
      <c r="S9" s="24">
        <v>1.0</v>
      </c>
      <c r="T9" s="24" t="s">
        <v>48</v>
      </c>
      <c r="U9" s="23">
        <v>3.0</v>
      </c>
    </row>
    <row r="10">
      <c r="A10" s="8">
        <v>9.0</v>
      </c>
      <c r="B10" s="9">
        <v>0.0</v>
      </c>
      <c r="C10" s="9" t="s">
        <v>54</v>
      </c>
      <c r="D10" s="11">
        <v>159.0</v>
      </c>
      <c r="E10" s="11">
        <v>51.0</v>
      </c>
      <c r="F10" s="9">
        <v>1.0</v>
      </c>
      <c r="G10" s="9" t="s">
        <v>45</v>
      </c>
      <c r="H10" s="11">
        <v>2.0</v>
      </c>
      <c r="I10" s="9">
        <v>0.0</v>
      </c>
      <c r="J10" s="9" t="s">
        <v>50</v>
      </c>
      <c r="K10" s="9">
        <v>0.0</v>
      </c>
      <c r="L10" s="9" t="s">
        <v>47</v>
      </c>
      <c r="M10" s="11">
        <v>7.3</v>
      </c>
      <c r="N10" s="11">
        <v>7.5</v>
      </c>
      <c r="O10" s="25"/>
      <c r="P10" s="25"/>
      <c r="Q10" s="25"/>
      <c r="R10" s="25"/>
      <c r="S10" s="25"/>
      <c r="T10" s="25"/>
      <c r="U10" s="23"/>
    </row>
    <row r="11">
      <c r="A11" s="8">
        <v>10.0</v>
      </c>
      <c r="B11" s="9">
        <v>1.0</v>
      </c>
      <c r="C11" s="9" t="s">
        <v>44</v>
      </c>
      <c r="D11" s="11">
        <v>182.0</v>
      </c>
      <c r="E11" s="11">
        <v>76.0</v>
      </c>
      <c r="F11" s="9">
        <v>3.0</v>
      </c>
      <c r="G11" s="9" t="s">
        <v>49</v>
      </c>
      <c r="H11" s="11">
        <v>2.0</v>
      </c>
      <c r="I11" s="9">
        <v>1.0</v>
      </c>
      <c r="J11" s="9" t="s">
        <v>57</v>
      </c>
      <c r="K11" s="9">
        <v>0.0</v>
      </c>
      <c r="L11" s="9" t="s">
        <v>47</v>
      </c>
      <c r="M11" s="11">
        <v>5.58</v>
      </c>
      <c r="N11" s="11">
        <v>5.2</v>
      </c>
      <c r="O11" s="9">
        <v>1.0</v>
      </c>
      <c r="P11" s="9" t="s">
        <v>48</v>
      </c>
      <c r="Q11" s="9">
        <v>1.0</v>
      </c>
      <c r="R11" s="9" t="s">
        <v>48</v>
      </c>
      <c r="S11" s="9">
        <v>1.0</v>
      </c>
      <c r="T11" s="9" t="s">
        <v>48</v>
      </c>
      <c r="U11" s="11">
        <v>8.0</v>
      </c>
    </row>
    <row r="12">
      <c r="A12" s="8">
        <v>11.0</v>
      </c>
      <c r="B12" s="9">
        <v>0.0</v>
      </c>
      <c r="C12" s="9" t="s">
        <v>54</v>
      </c>
      <c r="D12" s="23">
        <v>160.0</v>
      </c>
      <c r="E12" s="11">
        <v>50.0</v>
      </c>
      <c r="F12" s="9">
        <v>1.0</v>
      </c>
      <c r="G12" s="9" t="s">
        <v>45</v>
      </c>
      <c r="H12" s="11">
        <v>2.0</v>
      </c>
      <c r="I12" s="9">
        <v>1.0</v>
      </c>
      <c r="J12" s="9" t="s">
        <v>57</v>
      </c>
      <c r="K12" s="9">
        <v>0.0</v>
      </c>
      <c r="L12" s="9" t="s">
        <v>47</v>
      </c>
      <c r="M12" s="11">
        <v>6.0</v>
      </c>
      <c r="N12" s="11">
        <v>7.6</v>
      </c>
      <c r="O12" s="9">
        <v>1.0</v>
      </c>
      <c r="P12" s="9" t="s">
        <v>48</v>
      </c>
      <c r="Q12" s="9">
        <v>1.0</v>
      </c>
      <c r="R12" s="9" t="s">
        <v>48</v>
      </c>
      <c r="S12" s="9">
        <v>0.0</v>
      </c>
      <c r="T12" s="9" t="s">
        <v>53</v>
      </c>
      <c r="U12" s="11">
        <v>0.0</v>
      </c>
    </row>
    <row r="13">
      <c r="A13" s="8">
        <v>12.0</v>
      </c>
      <c r="B13" s="9">
        <v>1.0</v>
      </c>
      <c r="C13" s="9" t="s">
        <v>44</v>
      </c>
      <c r="D13" s="11">
        <v>182.0</v>
      </c>
      <c r="E13" s="11">
        <v>65.0</v>
      </c>
      <c r="F13" s="9">
        <v>3.0</v>
      </c>
      <c r="G13" s="9" t="s">
        <v>49</v>
      </c>
      <c r="H13" s="11">
        <v>3.0</v>
      </c>
      <c r="I13" s="9">
        <v>0.0</v>
      </c>
      <c r="J13" s="9" t="s">
        <v>50</v>
      </c>
      <c r="K13" s="9">
        <v>0.0</v>
      </c>
      <c r="L13" s="9" t="s">
        <v>47</v>
      </c>
      <c r="M13" s="11">
        <v>7.5</v>
      </c>
      <c r="N13" s="11">
        <v>9.303</v>
      </c>
      <c r="O13" s="9">
        <v>1.0</v>
      </c>
      <c r="P13" s="9" t="s">
        <v>48</v>
      </c>
      <c r="Q13" s="9">
        <v>1.0</v>
      </c>
      <c r="R13" s="9" t="s">
        <v>48</v>
      </c>
      <c r="S13" s="9">
        <v>1.0</v>
      </c>
      <c r="T13" s="9" t="s">
        <v>48</v>
      </c>
      <c r="U13" s="11">
        <v>10.0</v>
      </c>
    </row>
    <row r="14">
      <c r="A14" s="8">
        <v>13.0</v>
      </c>
      <c r="B14" s="9">
        <v>1.0</v>
      </c>
      <c r="C14" s="9" t="s">
        <v>44</v>
      </c>
      <c r="D14" s="11">
        <v>180.0</v>
      </c>
      <c r="E14" s="11">
        <v>71.0</v>
      </c>
      <c r="F14" s="9">
        <v>3.0</v>
      </c>
      <c r="G14" s="9" t="s">
        <v>49</v>
      </c>
      <c r="H14" s="11">
        <v>1.0</v>
      </c>
      <c r="I14" s="9">
        <v>0.0</v>
      </c>
      <c r="J14" s="9" t="s">
        <v>50</v>
      </c>
      <c r="K14" s="9">
        <v>1.0</v>
      </c>
      <c r="L14" s="9" t="s">
        <v>51</v>
      </c>
      <c r="M14" s="11">
        <v>5.5</v>
      </c>
      <c r="N14" s="11">
        <v>5.9</v>
      </c>
      <c r="O14" s="9">
        <v>1.0</v>
      </c>
      <c r="P14" s="9" t="s">
        <v>48</v>
      </c>
      <c r="Q14" s="9">
        <v>1.0</v>
      </c>
      <c r="R14" s="9" t="s">
        <v>48</v>
      </c>
      <c r="S14" s="9">
        <v>1.0</v>
      </c>
      <c r="T14" s="9" t="s">
        <v>48</v>
      </c>
      <c r="U14" s="11">
        <v>20.0</v>
      </c>
    </row>
    <row r="15">
      <c r="A15" s="8">
        <v>14.0</v>
      </c>
      <c r="B15" s="9">
        <v>1.0</v>
      </c>
      <c r="C15" s="9" t="s">
        <v>44</v>
      </c>
      <c r="D15" s="11">
        <v>178.0</v>
      </c>
      <c r="E15" s="11">
        <v>76.0</v>
      </c>
      <c r="F15" s="9">
        <v>4.0</v>
      </c>
      <c r="G15" s="9" t="s">
        <v>56</v>
      </c>
      <c r="H15" s="11">
        <v>2.0</v>
      </c>
      <c r="I15" s="9">
        <v>0.0</v>
      </c>
      <c r="J15" s="9" t="s">
        <v>50</v>
      </c>
      <c r="K15" s="9">
        <v>1.0</v>
      </c>
      <c r="L15" s="9" t="s">
        <v>51</v>
      </c>
      <c r="M15" s="11">
        <v>5.6</v>
      </c>
      <c r="N15" s="11">
        <v>6.8</v>
      </c>
      <c r="O15" s="9">
        <v>1.0</v>
      </c>
      <c r="P15" s="9" t="s">
        <v>48</v>
      </c>
      <c r="Q15" s="9">
        <v>1.0</v>
      </c>
      <c r="R15" s="9" t="s">
        <v>48</v>
      </c>
      <c r="S15" s="9">
        <v>1.0</v>
      </c>
      <c r="T15" s="9" t="s">
        <v>48</v>
      </c>
      <c r="U15" s="11">
        <v>7.0</v>
      </c>
    </row>
    <row r="16">
      <c r="A16" s="8">
        <v>15.0</v>
      </c>
      <c r="B16" s="9">
        <v>0.0</v>
      </c>
      <c r="C16" s="9" t="s">
        <v>54</v>
      </c>
      <c r="D16" s="11">
        <v>163.0</v>
      </c>
      <c r="E16" s="11">
        <v>50.0</v>
      </c>
      <c r="F16" s="9">
        <v>0.0</v>
      </c>
      <c r="G16" s="9" t="s">
        <v>58</v>
      </c>
      <c r="H16" s="11">
        <v>2.0</v>
      </c>
      <c r="I16" s="9">
        <v>0.0</v>
      </c>
      <c r="J16" s="9" t="s">
        <v>50</v>
      </c>
      <c r="K16" s="9">
        <v>0.0</v>
      </c>
      <c r="L16" s="9" t="s">
        <v>47</v>
      </c>
      <c r="M16" s="11">
        <v>6.0</v>
      </c>
      <c r="N16" s="11">
        <v>7.0</v>
      </c>
      <c r="O16" s="9">
        <v>1.0</v>
      </c>
      <c r="P16" s="9" t="s">
        <v>48</v>
      </c>
      <c r="Q16" s="9">
        <v>1.0</v>
      </c>
      <c r="R16" s="9" t="s">
        <v>48</v>
      </c>
      <c r="S16" s="9">
        <v>1.0</v>
      </c>
      <c r="T16" s="9" t="s">
        <v>48</v>
      </c>
      <c r="U16" s="11">
        <v>5.0</v>
      </c>
    </row>
    <row r="17">
      <c r="A17" s="8">
        <v>16.0</v>
      </c>
      <c r="B17" s="9">
        <v>1.0</v>
      </c>
      <c r="C17" s="9" t="s">
        <v>44</v>
      </c>
      <c r="D17" s="11">
        <v>173.0</v>
      </c>
      <c r="E17" s="11">
        <v>69.0</v>
      </c>
      <c r="F17" s="9">
        <v>0.0</v>
      </c>
      <c r="G17" s="9" t="s">
        <v>58</v>
      </c>
      <c r="H17" s="11">
        <v>2.0</v>
      </c>
      <c r="I17" s="9">
        <v>0.0</v>
      </c>
      <c r="J17" s="9" t="s">
        <v>50</v>
      </c>
      <c r="K17" s="9">
        <v>1.0</v>
      </c>
      <c r="L17" s="9" t="s">
        <v>51</v>
      </c>
      <c r="M17" s="11">
        <v>7.5</v>
      </c>
      <c r="N17" s="11">
        <v>7.4</v>
      </c>
      <c r="O17" s="9">
        <v>1.0</v>
      </c>
      <c r="P17" s="9" t="s">
        <v>48</v>
      </c>
      <c r="Q17" s="9">
        <v>1.0</v>
      </c>
      <c r="R17" s="9" t="s">
        <v>48</v>
      </c>
      <c r="S17" s="9">
        <v>1.0</v>
      </c>
      <c r="T17" s="9" t="s">
        <v>48</v>
      </c>
      <c r="U17" s="11">
        <v>35.0</v>
      </c>
    </row>
    <row r="18">
      <c r="A18" s="8">
        <v>17.0</v>
      </c>
      <c r="B18" s="9">
        <v>0.0</v>
      </c>
      <c r="C18" s="9" t="s">
        <v>54</v>
      </c>
      <c r="D18" s="11">
        <v>160.0</v>
      </c>
      <c r="E18" s="11">
        <v>50.0</v>
      </c>
      <c r="F18" s="9">
        <v>1.0</v>
      </c>
      <c r="G18" s="9" t="s">
        <v>45</v>
      </c>
      <c r="H18" s="11">
        <v>2.0</v>
      </c>
      <c r="I18" s="9">
        <v>0.0</v>
      </c>
      <c r="J18" s="9" t="s">
        <v>50</v>
      </c>
      <c r="K18" s="9">
        <v>0.0</v>
      </c>
      <c r="L18" s="9" t="s">
        <v>47</v>
      </c>
      <c r="M18" s="11">
        <v>6.0</v>
      </c>
      <c r="N18" s="11">
        <v>6.0</v>
      </c>
      <c r="O18" s="9">
        <v>0.0</v>
      </c>
      <c r="P18" s="9" t="s">
        <v>53</v>
      </c>
      <c r="Q18" s="9">
        <v>1.0</v>
      </c>
      <c r="R18" s="9" t="s">
        <v>48</v>
      </c>
      <c r="S18" s="9">
        <v>1.0</v>
      </c>
      <c r="T18" s="9" t="s">
        <v>48</v>
      </c>
      <c r="U18" s="11">
        <v>1.0</v>
      </c>
    </row>
    <row r="19">
      <c r="A19" s="8">
        <v>18.0</v>
      </c>
      <c r="B19" s="9">
        <v>1.0</v>
      </c>
      <c r="C19" s="9" t="s">
        <v>44</v>
      </c>
      <c r="D19" s="11">
        <v>184.0</v>
      </c>
      <c r="E19" s="11">
        <v>68.0</v>
      </c>
      <c r="F19" s="9">
        <v>3.0</v>
      </c>
      <c r="G19" s="9" t="s">
        <v>49</v>
      </c>
      <c r="H19" s="11">
        <v>2.0</v>
      </c>
      <c r="I19" s="9">
        <v>0.0</v>
      </c>
      <c r="J19" s="9" t="s">
        <v>50</v>
      </c>
      <c r="K19" s="9">
        <v>0.0</v>
      </c>
      <c r="L19" s="9" t="s">
        <v>47</v>
      </c>
      <c r="M19" s="11">
        <v>6.2</v>
      </c>
      <c r="N19" s="11">
        <v>8.0</v>
      </c>
      <c r="O19" s="9">
        <v>1.0</v>
      </c>
      <c r="P19" s="9" t="s">
        <v>48</v>
      </c>
      <c r="Q19" s="9">
        <v>1.0</v>
      </c>
      <c r="R19" s="9" t="s">
        <v>48</v>
      </c>
      <c r="S19" s="9">
        <v>1.0</v>
      </c>
      <c r="T19" s="9" t="s">
        <v>48</v>
      </c>
      <c r="U19" s="11">
        <v>4.0</v>
      </c>
    </row>
    <row r="20">
      <c r="A20" s="8">
        <v>19.0</v>
      </c>
      <c r="B20" s="9">
        <v>0.0</v>
      </c>
      <c r="C20" s="9" t="s">
        <v>54</v>
      </c>
      <c r="D20" s="11">
        <v>162.0</v>
      </c>
      <c r="E20" s="11">
        <v>57.0</v>
      </c>
      <c r="F20" s="9">
        <v>1.0</v>
      </c>
      <c r="G20" s="9" t="s">
        <v>45</v>
      </c>
      <c r="H20" s="11">
        <v>3.0</v>
      </c>
      <c r="I20" s="9">
        <v>0.0</v>
      </c>
      <c r="J20" s="9" t="s">
        <v>50</v>
      </c>
      <c r="K20" s="9">
        <v>1.0</v>
      </c>
      <c r="L20" s="9" t="s">
        <v>51</v>
      </c>
      <c r="M20" s="11">
        <v>6.8</v>
      </c>
      <c r="N20" s="11">
        <v>6.5</v>
      </c>
      <c r="O20" s="9">
        <v>1.0</v>
      </c>
      <c r="P20" s="9" t="s">
        <v>48</v>
      </c>
      <c r="Q20" s="9">
        <v>1.0</v>
      </c>
      <c r="R20" s="9" t="s">
        <v>48</v>
      </c>
      <c r="S20" s="9">
        <v>1.0</v>
      </c>
      <c r="T20" s="9" t="s">
        <v>48</v>
      </c>
      <c r="U20" s="11">
        <v>4.0</v>
      </c>
    </row>
    <row r="21" ht="15.75" customHeight="1">
      <c r="A21" s="8">
        <v>20.0</v>
      </c>
      <c r="B21" s="9">
        <v>0.0</v>
      </c>
      <c r="C21" s="9" t="s">
        <v>54</v>
      </c>
      <c r="D21" s="11">
        <v>165.0</v>
      </c>
      <c r="E21" s="11">
        <v>56.0</v>
      </c>
      <c r="F21" s="9">
        <v>2.0</v>
      </c>
      <c r="G21" s="9" t="s">
        <v>55</v>
      </c>
      <c r="H21" s="11">
        <v>3.0</v>
      </c>
      <c r="I21" s="9">
        <v>2.0</v>
      </c>
      <c r="J21" s="9" t="s">
        <v>52</v>
      </c>
      <c r="K21" s="9">
        <v>0.0</v>
      </c>
      <c r="L21" s="9" t="s">
        <v>47</v>
      </c>
      <c r="M21" s="11">
        <v>8.5</v>
      </c>
      <c r="N21" s="11">
        <v>10.5</v>
      </c>
      <c r="O21" s="9">
        <v>1.0</v>
      </c>
      <c r="P21" s="9" t="s">
        <v>48</v>
      </c>
      <c r="Q21" s="9">
        <v>1.0</v>
      </c>
      <c r="R21" s="9" t="s">
        <v>48</v>
      </c>
      <c r="S21" s="9">
        <v>1.0</v>
      </c>
      <c r="T21" s="9" t="s">
        <v>48</v>
      </c>
      <c r="U21" s="11">
        <v>14.0</v>
      </c>
    </row>
    <row r="22" ht="15.75" customHeight="1">
      <c r="A22" s="8">
        <v>21.0</v>
      </c>
      <c r="B22" s="9">
        <v>0.0</v>
      </c>
      <c r="C22" s="9" t="s">
        <v>54</v>
      </c>
      <c r="D22" s="11">
        <v>165.0</v>
      </c>
      <c r="E22" s="11">
        <v>50.0</v>
      </c>
      <c r="F22" s="9">
        <v>1.0</v>
      </c>
      <c r="G22" s="9" t="s">
        <v>45</v>
      </c>
      <c r="H22" s="11">
        <v>3.0</v>
      </c>
      <c r="I22" s="9">
        <v>2.0</v>
      </c>
      <c r="J22" s="9" t="s">
        <v>52</v>
      </c>
      <c r="K22" s="9">
        <v>0.0</v>
      </c>
      <c r="L22" s="9" t="s">
        <v>47</v>
      </c>
      <c r="M22" s="11">
        <v>9.5</v>
      </c>
      <c r="N22" s="11">
        <v>12.1</v>
      </c>
      <c r="O22" s="9">
        <v>1.0</v>
      </c>
      <c r="P22" s="9" t="s">
        <v>48</v>
      </c>
      <c r="Q22" s="9">
        <v>1.0</v>
      </c>
      <c r="R22" s="9" t="s">
        <v>48</v>
      </c>
      <c r="S22" s="9">
        <v>1.0</v>
      </c>
      <c r="T22" s="9" t="s">
        <v>48</v>
      </c>
      <c r="U22" s="11">
        <v>14.0</v>
      </c>
    </row>
    <row r="23" ht="15.75" customHeight="1">
      <c r="A23" s="8">
        <v>22.0</v>
      </c>
      <c r="B23" s="9">
        <v>1.0</v>
      </c>
      <c r="C23" s="9" t="s">
        <v>44</v>
      </c>
      <c r="D23" s="11">
        <v>172.0</v>
      </c>
      <c r="E23" s="11">
        <v>60.0</v>
      </c>
      <c r="F23" s="9">
        <v>2.0</v>
      </c>
      <c r="G23" s="9" t="s">
        <v>55</v>
      </c>
      <c r="H23" s="11"/>
      <c r="I23" s="9">
        <v>2.0</v>
      </c>
      <c r="J23" s="9" t="s">
        <v>52</v>
      </c>
      <c r="K23" s="9">
        <v>1.0</v>
      </c>
      <c r="L23" s="9" t="s">
        <v>51</v>
      </c>
      <c r="M23" s="11">
        <v>7.0</v>
      </c>
      <c r="N23" s="11">
        <v>7.8</v>
      </c>
      <c r="O23" s="9">
        <v>1.0</v>
      </c>
      <c r="P23" s="9" t="s">
        <v>48</v>
      </c>
      <c r="Q23" s="9">
        <v>1.0</v>
      </c>
      <c r="R23" s="9" t="s">
        <v>48</v>
      </c>
      <c r="S23" s="9">
        <v>1.0</v>
      </c>
      <c r="T23" s="9" t="s">
        <v>48</v>
      </c>
      <c r="U23" s="11">
        <v>20.0</v>
      </c>
    </row>
    <row r="24" ht="15.75" customHeight="1">
      <c r="A24" s="8">
        <v>23.0</v>
      </c>
      <c r="B24" s="9">
        <v>0.0</v>
      </c>
      <c r="C24" s="9" t="s">
        <v>54</v>
      </c>
      <c r="D24" s="23">
        <v>173.0</v>
      </c>
      <c r="E24" s="11">
        <v>59.0</v>
      </c>
      <c r="F24" s="9">
        <v>3.0</v>
      </c>
      <c r="G24" s="9" t="s">
        <v>49</v>
      </c>
      <c r="H24" s="11">
        <v>2.0</v>
      </c>
      <c r="I24" s="9">
        <v>0.0</v>
      </c>
      <c r="J24" s="9" t="s">
        <v>50</v>
      </c>
      <c r="K24" s="9">
        <v>0.0</v>
      </c>
      <c r="L24" s="9" t="s">
        <v>47</v>
      </c>
      <c r="M24" s="11">
        <v>9.2</v>
      </c>
      <c r="N24" s="11">
        <v>10.5</v>
      </c>
      <c r="O24" s="9">
        <v>1.0</v>
      </c>
      <c r="P24" s="9" t="s">
        <v>48</v>
      </c>
      <c r="Q24" s="9">
        <v>1.0</v>
      </c>
      <c r="R24" s="9" t="s">
        <v>48</v>
      </c>
      <c r="S24" s="9">
        <v>1.0</v>
      </c>
      <c r="T24" s="9" t="s">
        <v>48</v>
      </c>
      <c r="U24" s="11">
        <v>6.0</v>
      </c>
    </row>
    <row r="25" ht="15.75" customHeight="1">
      <c r="A25" s="8">
        <v>24.0</v>
      </c>
      <c r="B25" s="9">
        <v>0.0</v>
      </c>
      <c r="C25" s="9" t="s">
        <v>54</v>
      </c>
      <c r="D25" s="11">
        <v>167.0</v>
      </c>
      <c r="E25" s="11">
        <v>61.0</v>
      </c>
      <c r="F25" s="9">
        <v>2.0</v>
      </c>
      <c r="G25" s="9" t="s">
        <v>55</v>
      </c>
      <c r="H25" s="11">
        <v>3.0</v>
      </c>
      <c r="I25" s="9">
        <v>0.0</v>
      </c>
      <c r="J25" s="9" t="s">
        <v>50</v>
      </c>
      <c r="K25" s="9">
        <v>1.0</v>
      </c>
      <c r="L25" s="9" t="s">
        <v>51</v>
      </c>
      <c r="M25" s="11">
        <v>6.6</v>
      </c>
      <c r="N25" s="11">
        <v>8.2</v>
      </c>
      <c r="O25" s="9">
        <v>1.0</v>
      </c>
      <c r="P25" s="9" t="s">
        <v>48</v>
      </c>
      <c r="Q25" s="9">
        <v>1.0</v>
      </c>
      <c r="R25" s="9" t="s">
        <v>48</v>
      </c>
      <c r="S25" s="9">
        <v>1.0</v>
      </c>
      <c r="T25" s="9" t="s">
        <v>48</v>
      </c>
      <c r="U25" s="11">
        <v>14.0</v>
      </c>
    </row>
    <row r="26" ht="15.75" customHeight="1">
      <c r="A26" s="8">
        <v>25.0</v>
      </c>
      <c r="B26" s="9">
        <v>1.0</v>
      </c>
      <c r="C26" s="9" t="s">
        <v>44</v>
      </c>
      <c r="D26" s="23">
        <v>174.0</v>
      </c>
      <c r="E26" s="11">
        <v>59.8</v>
      </c>
      <c r="F26" s="9">
        <v>2.0</v>
      </c>
      <c r="G26" s="9" t="s">
        <v>55</v>
      </c>
      <c r="H26" s="11">
        <v>2.0</v>
      </c>
      <c r="I26" s="9">
        <v>0.0</v>
      </c>
      <c r="J26" s="9" t="s">
        <v>50</v>
      </c>
      <c r="K26" s="8"/>
      <c r="L26" s="8"/>
      <c r="M26" s="11">
        <v>7.56</v>
      </c>
      <c r="N26" s="11">
        <v>9.72</v>
      </c>
      <c r="O26" s="9">
        <v>1.0</v>
      </c>
      <c r="P26" s="9" t="s">
        <v>48</v>
      </c>
      <c r="Q26" s="9">
        <v>1.0</v>
      </c>
      <c r="R26" s="9" t="s">
        <v>48</v>
      </c>
      <c r="S26" s="9">
        <v>1.0</v>
      </c>
      <c r="T26" s="9" t="s">
        <v>48</v>
      </c>
      <c r="U26" s="11">
        <v>2.6</v>
      </c>
    </row>
    <row r="27" ht="15.75" customHeight="1">
      <c r="A27" s="8">
        <v>26.0</v>
      </c>
      <c r="B27" s="9">
        <v>1.0</v>
      </c>
      <c r="C27" s="9" t="s">
        <v>44</v>
      </c>
      <c r="D27" s="11">
        <v>173.0</v>
      </c>
      <c r="E27" s="11">
        <v>73.0</v>
      </c>
      <c r="F27" s="9">
        <v>3.0</v>
      </c>
      <c r="G27" s="9" t="s">
        <v>49</v>
      </c>
      <c r="H27" s="11"/>
      <c r="I27" s="9">
        <v>0.0</v>
      </c>
      <c r="J27" s="9" t="s">
        <v>50</v>
      </c>
      <c r="K27" s="9">
        <v>1.0</v>
      </c>
      <c r="L27" s="9" t="s">
        <v>51</v>
      </c>
      <c r="M27" s="11">
        <v>6.5</v>
      </c>
      <c r="N27" s="11">
        <v>6.375</v>
      </c>
      <c r="O27" s="9">
        <v>1.0</v>
      </c>
      <c r="P27" s="9" t="s">
        <v>48</v>
      </c>
      <c r="Q27" s="9">
        <v>1.0</v>
      </c>
      <c r="R27" s="9" t="s">
        <v>48</v>
      </c>
      <c r="S27" s="9">
        <v>1.0</v>
      </c>
      <c r="T27" s="9" t="s">
        <v>48</v>
      </c>
      <c r="U27" s="11">
        <v>25.0</v>
      </c>
    </row>
    <row r="28" ht="15.75" customHeight="1">
      <c r="A28" s="8">
        <v>27.0</v>
      </c>
      <c r="B28" s="9">
        <v>1.0</v>
      </c>
      <c r="C28" s="9" t="s">
        <v>44</v>
      </c>
      <c r="D28" s="11">
        <v>171.0</v>
      </c>
      <c r="E28" s="11">
        <v>66.0</v>
      </c>
      <c r="F28" s="9">
        <v>2.0</v>
      </c>
      <c r="G28" s="9" t="s">
        <v>55</v>
      </c>
      <c r="H28" s="11">
        <v>2.0</v>
      </c>
      <c r="I28" s="9">
        <v>1.0</v>
      </c>
      <c r="J28" s="9" t="s">
        <v>57</v>
      </c>
      <c r="K28" s="9">
        <v>0.0</v>
      </c>
      <c r="L28" s="9" t="s">
        <v>47</v>
      </c>
      <c r="M28" s="11">
        <v>6.7</v>
      </c>
      <c r="N28" s="11">
        <v>8.73</v>
      </c>
      <c r="O28" s="9">
        <v>1.0</v>
      </c>
      <c r="P28" s="9" t="s">
        <v>48</v>
      </c>
      <c r="Q28" s="9">
        <v>1.0</v>
      </c>
      <c r="R28" s="9" t="s">
        <v>48</v>
      </c>
      <c r="S28" s="9">
        <v>1.0</v>
      </c>
      <c r="T28" s="9" t="s">
        <v>48</v>
      </c>
      <c r="U28" s="11">
        <v>15.0</v>
      </c>
    </row>
    <row r="29" ht="15.75" customHeight="1">
      <c r="A29" s="8">
        <v>28.0</v>
      </c>
      <c r="B29" s="9">
        <v>1.0</v>
      </c>
      <c r="C29" s="9" t="s">
        <v>44</v>
      </c>
      <c r="D29" s="11">
        <v>177.0</v>
      </c>
      <c r="E29" s="11">
        <v>65.0</v>
      </c>
      <c r="F29" s="9">
        <v>2.0</v>
      </c>
      <c r="G29" s="9" t="s">
        <v>55</v>
      </c>
      <c r="H29" s="11">
        <v>2.0</v>
      </c>
      <c r="I29" s="9">
        <v>0.0</v>
      </c>
      <c r="J29" s="9" t="s">
        <v>50</v>
      </c>
      <c r="K29" s="9">
        <v>1.0</v>
      </c>
      <c r="L29" s="9" t="s">
        <v>51</v>
      </c>
      <c r="M29" s="11">
        <v>6.0</v>
      </c>
      <c r="N29" s="11">
        <v>8.0</v>
      </c>
      <c r="O29" s="9">
        <v>1.0</v>
      </c>
      <c r="P29" s="9" t="s">
        <v>48</v>
      </c>
      <c r="Q29" s="9">
        <v>1.0</v>
      </c>
      <c r="R29" s="9" t="s">
        <v>48</v>
      </c>
      <c r="S29" s="9">
        <v>1.0</v>
      </c>
      <c r="T29" s="9" t="s">
        <v>48</v>
      </c>
      <c r="U29" s="11">
        <v>5.0</v>
      </c>
    </row>
    <row r="30" ht="15.75" customHeight="1">
      <c r="A30" s="8">
        <v>29.0</v>
      </c>
      <c r="B30" s="9">
        <v>0.0</v>
      </c>
      <c r="C30" s="9" t="s">
        <v>54</v>
      </c>
      <c r="D30" s="11">
        <v>170.0</v>
      </c>
      <c r="E30" s="11">
        <v>59.0</v>
      </c>
      <c r="F30" s="9">
        <v>2.0</v>
      </c>
      <c r="G30" s="9" t="s">
        <v>55</v>
      </c>
      <c r="H30" s="11">
        <v>2.0</v>
      </c>
      <c r="I30" s="9">
        <v>0.0</v>
      </c>
      <c r="J30" s="9" t="s">
        <v>50</v>
      </c>
      <c r="K30" s="9">
        <v>1.0</v>
      </c>
      <c r="L30" s="9" t="s">
        <v>51</v>
      </c>
      <c r="M30" s="11">
        <v>7.0</v>
      </c>
      <c r="N30" s="11">
        <v>8.235</v>
      </c>
      <c r="O30" s="9">
        <v>0.0</v>
      </c>
      <c r="P30" s="9" t="s">
        <v>53</v>
      </c>
      <c r="Q30" s="9">
        <v>1.0</v>
      </c>
      <c r="R30" s="9" t="s">
        <v>48</v>
      </c>
      <c r="S30" s="9">
        <v>1.0</v>
      </c>
      <c r="T30" s="9" t="s">
        <v>48</v>
      </c>
      <c r="U30" s="11">
        <v>3.0</v>
      </c>
    </row>
    <row r="31" ht="15.75" customHeight="1">
      <c r="A31" s="8">
        <v>30.0</v>
      </c>
      <c r="B31" s="9">
        <v>0.0</v>
      </c>
      <c r="C31" s="9" t="s">
        <v>54</v>
      </c>
      <c r="D31" s="11">
        <v>163.5</v>
      </c>
      <c r="E31" s="11">
        <v>42.5</v>
      </c>
      <c r="F31" s="9">
        <v>4.0</v>
      </c>
      <c r="G31" s="9" t="s">
        <v>56</v>
      </c>
      <c r="H31" s="11">
        <v>1.0</v>
      </c>
      <c r="I31" s="9">
        <v>2.0</v>
      </c>
      <c r="J31" s="9" t="s">
        <v>52</v>
      </c>
      <c r="K31" s="9">
        <v>0.0</v>
      </c>
      <c r="L31" s="9" t="s">
        <v>47</v>
      </c>
      <c r="M31" s="11">
        <v>9.9</v>
      </c>
      <c r="N31" s="11">
        <v>12.5</v>
      </c>
      <c r="O31" s="9">
        <v>1.0</v>
      </c>
      <c r="P31" s="9" t="s">
        <v>48</v>
      </c>
      <c r="Q31" s="9">
        <v>1.0</v>
      </c>
      <c r="R31" s="9" t="s">
        <v>48</v>
      </c>
      <c r="S31" s="9">
        <v>1.0</v>
      </c>
      <c r="T31" s="9" t="s">
        <v>48</v>
      </c>
      <c r="U31" s="11">
        <v>8.0</v>
      </c>
    </row>
    <row r="32" ht="15.75" customHeight="1">
      <c r="A32" s="8">
        <v>31.0</v>
      </c>
      <c r="B32" s="9">
        <v>0.0</v>
      </c>
      <c r="C32" s="9" t="s">
        <v>54</v>
      </c>
      <c r="D32" s="11">
        <v>150.0</v>
      </c>
      <c r="E32" s="11">
        <v>45.0</v>
      </c>
      <c r="F32" s="9">
        <v>1.0</v>
      </c>
      <c r="G32" s="9" t="s">
        <v>45</v>
      </c>
      <c r="H32" s="11">
        <v>2.0</v>
      </c>
      <c r="I32" s="9">
        <v>0.0</v>
      </c>
      <c r="J32" s="9" t="s">
        <v>50</v>
      </c>
      <c r="K32" s="9">
        <v>0.0</v>
      </c>
      <c r="L32" s="9" t="s">
        <v>47</v>
      </c>
      <c r="M32" s="11">
        <v>6.5</v>
      </c>
      <c r="N32" s="11">
        <v>7.5</v>
      </c>
      <c r="O32" s="9">
        <v>1.0</v>
      </c>
      <c r="P32" s="9" t="s">
        <v>48</v>
      </c>
      <c r="Q32" s="9">
        <v>1.0</v>
      </c>
      <c r="R32" s="9" t="s">
        <v>48</v>
      </c>
      <c r="S32" s="9">
        <v>1.0</v>
      </c>
      <c r="T32" s="9" t="s">
        <v>48</v>
      </c>
      <c r="U32" s="11">
        <v>21.0</v>
      </c>
    </row>
    <row r="33" ht="15.75" customHeight="1">
      <c r="A33" s="8">
        <v>32.0</v>
      </c>
      <c r="B33" s="9">
        <v>1.0</v>
      </c>
      <c r="C33" s="9" t="s">
        <v>44</v>
      </c>
      <c r="D33" s="11">
        <v>175.0</v>
      </c>
      <c r="E33" s="11">
        <v>65.0</v>
      </c>
      <c r="F33" s="9">
        <v>3.0</v>
      </c>
      <c r="G33" s="9" t="s">
        <v>49</v>
      </c>
      <c r="H33" s="11">
        <v>2.0</v>
      </c>
      <c r="I33" s="9">
        <v>0.0</v>
      </c>
      <c r="J33" s="9" t="s">
        <v>50</v>
      </c>
      <c r="K33" s="9">
        <v>0.0</v>
      </c>
      <c r="L33" s="9" t="s">
        <v>47</v>
      </c>
      <c r="M33" s="11">
        <v>7.0</v>
      </c>
      <c r="N33" s="11">
        <v>9.0</v>
      </c>
      <c r="O33" s="9">
        <v>1.0</v>
      </c>
      <c r="P33" s="9" t="s">
        <v>48</v>
      </c>
      <c r="Q33" s="9">
        <v>1.0</v>
      </c>
      <c r="R33" s="9" t="s">
        <v>48</v>
      </c>
      <c r="S33" s="9">
        <v>1.0</v>
      </c>
      <c r="T33" s="9" t="s">
        <v>48</v>
      </c>
      <c r="U33" s="11">
        <v>30.0</v>
      </c>
    </row>
    <row r="34" ht="15.75" customHeight="1">
      <c r="A34" s="8">
        <v>33.0</v>
      </c>
      <c r="B34" s="9">
        <v>1.0</v>
      </c>
      <c r="C34" s="9" t="s">
        <v>44</v>
      </c>
      <c r="D34" s="11">
        <v>180.0</v>
      </c>
      <c r="E34" s="11">
        <v>70.0</v>
      </c>
      <c r="F34" s="9">
        <v>1.0</v>
      </c>
      <c r="G34" s="9" t="s">
        <v>45</v>
      </c>
      <c r="H34" s="11">
        <v>2.0</v>
      </c>
      <c r="I34" s="9">
        <v>1.0</v>
      </c>
      <c r="J34" s="9" t="s">
        <v>57</v>
      </c>
      <c r="K34" s="9">
        <v>0.0</v>
      </c>
      <c r="L34" s="9" t="s">
        <v>47</v>
      </c>
      <c r="M34" s="11">
        <v>7.0</v>
      </c>
      <c r="N34" s="11">
        <v>7.0</v>
      </c>
      <c r="O34" s="9">
        <v>1.0</v>
      </c>
      <c r="P34" s="9" t="s">
        <v>48</v>
      </c>
      <c r="Q34" s="9">
        <v>1.0</v>
      </c>
      <c r="R34" s="9" t="s">
        <v>48</v>
      </c>
      <c r="S34" s="9">
        <v>1.0</v>
      </c>
      <c r="T34" s="9" t="s">
        <v>48</v>
      </c>
      <c r="U34" s="11">
        <v>3.0</v>
      </c>
    </row>
    <row r="35" ht="15.75" customHeight="1">
      <c r="A35" s="8">
        <v>34.0</v>
      </c>
      <c r="B35" s="9">
        <v>1.0</v>
      </c>
      <c r="C35" s="9" t="s">
        <v>44</v>
      </c>
      <c r="D35" s="11">
        <v>185.0</v>
      </c>
      <c r="E35" s="23"/>
      <c r="F35" s="25"/>
      <c r="G35" s="25"/>
      <c r="H35" s="23"/>
      <c r="I35" s="25"/>
      <c r="J35" s="25"/>
      <c r="K35" s="25"/>
      <c r="L35" s="25"/>
      <c r="M35" s="23"/>
      <c r="N35" s="23"/>
      <c r="O35" s="25"/>
      <c r="P35" s="25"/>
      <c r="Q35" s="25"/>
      <c r="R35" s="25"/>
      <c r="S35" s="25"/>
      <c r="T35" s="25"/>
      <c r="U35" s="23"/>
    </row>
    <row r="36" ht="15.75" customHeight="1">
      <c r="A36" s="8">
        <v>35.0</v>
      </c>
      <c r="B36" s="9">
        <v>1.0</v>
      </c>
      <c r="C36" s="9" t="s">
        <v>44</v>
      </c>
      <c r="D36" s="11">
        <v>172.0</v>
      </c>
      <c r="E36" s="11">
        <v>67.0</v>
      </c>
      <c r="F36" s="9">
        <v>2.0</v>
      </c>
      <c r="G36" s="9" t="s">
        <v>55</v>
      </c>
      <c r="H36" s="11">
        <v>2.0</v>
      </c>
      <c r="I36" s="9">
        <v>0.0</v>
      </c>
      <c r="J36" s="9" t="s">
        <v>50</v>
      </c>
      <c r="K36" s="9">
        <v>1.0</v>
      </c>
      <c r="L36" s="9" t="s">
        <v>51</v>
      </c>
      <c r="M36" s="11">
        <v>5.5</v>
      </c>
      <c r="N36" s="11">
        <v>5.2</v>
      </c>
      <c r="O36" s="9">
        <v>1.0</v>
      </c>
      <c r="P36" s="9" t="s">
        <v>48</v>
      </c>
      <c r="Q36" s="9">
        <v>1.0</v>
      </c>
      <c r="R36" s="9" t="s">
        <v>48</v>
      </c>
      <c r="S36" s="9">
        <v>1.0</v>
      </c>
      <c r="T36" s="9" t="s">
        <v>48</v>
      </c>
      <c r="U36" s="11">
        <v>15.0</v>
      </c>
    </row>
    <row r="37" ht="15.75" customHeight="1">
      <c r="A37" s="8">
        <v>36.0</v>
      </c>
      <c r="B37" s="9">
        <v>0.0</v>
      </c>
      <c r="C37" s="9" t="s">
        <v>54</v>
      </c>
      <c r="D37" s="11">
        <v>185.0</v>
      </c>
      <c r="E37" s="11">
        <v>85.0</v>
      </c>
      <c r="F37" s="9">
        <v>2.0</v>
      </c>
      <c r="G37" s="9" t="s">
        <v>55</v>
      </c>
      <c r="H37" s="11">
        <v>2.0</v>
      </c>
      <c r="I37" s="9">
        <v>2.0</v>
      </c>
      <c r="J37" s="9" t="s">
        <v>52</v>
      </c>
      <c r="K37" s="9">
        <v>0.0</v>
      </c>
      <c r="L37" s="9" t="s">
        <v>47</v>
      </c>
      <c r="M37" s="11">
        <v>8.4</v>
      </c>
      <c r="N37" s="11">
        <v>8.9</v>
      </c>
      <c r="O37" s="9">
        <v>1.0</v>
      </c>
      <c r="P37" s="9" t="s">
        <v>48</v>
      </c>
      <c r="Q37" s="9">
        <v>1.0</v>
      </c>
      <c r="R37" s="9" t="s">
        <v>48</v>
      </c>
      <c r="S37" s="9">
        <v>1.0</v>
      </c>
      <c r="T37" s="9" t="s">
        <v>48</v>
      </c>
      <c r="U37" s="11">
        <v>5.0</v>
      </c>
    </row>
    <row r="38" ht="15.75" customHeight="1">
      <c r="A38" s="8">
        <v>37.0</v>
      </c>
      <c r="B38" s="9">
        <v>0.0</v>
      </c>
      <c r="C38" s="9" t="s">
        <v>54</v>
      </c>
      <c r="D38" s="11">
        <v>167.0</v>
      </c>
      <c r="E38" s="11">
        <v>48.0</v>
      </c>
      <c r="F38" s="9">
        <v>1.0</v>
      </c>
      <c r="G38" s="9" t="s">
        <v>45</v>
      </c>
      <c r="H38" s="11">
        <v>2.0</v>
      </c>
      <c r="I38" s="9">
        <v>0.0</v>
      </c>
      <c r="J38" s="9" t="s">
        <v>50</v>
      </c>
      <c r="K38" s="9">
        <v>0.0</v>
      </c>
      <c r="L38" s="9" t="s">
        <v>47</v>
      </c>
      <c r="M38" s="11">
        <v>6.21</v>
      </c>
      <c r="N38" s="11">
        <v>8.1</v>
      </c>
      <c r="O38" s="9">
        <v>1.0</v>
      </c>
      <c r="P38" s="9" t="s">
        <v>48</v>
      </c>
      <c r="Q38" s="9">
        <v>1.0</v>
      </c>
      <c r="R38" s="9" t="s">
        <v>48</v>
      </c>
      <c r="S38" s="9">
        <v>1.0</v>
      </c>
      <c r="T38" s="9" t="s">
        <v>48</v>
      </c>
      <c r="U38" s="11">
        <v>10.0</v>
      </c>
    </row>
    <row r="39" ht="15.75" customHeight="1">
      <c r="A39" s="8">
        <v>38.0</v>
      </c>
      <c r="B39" s="9">
        <v>0.0</v>
      </c>
      <c r="C39" s="9" t="s">
        <v>54</v>
      </c>
      <c r="D39" s="11">
        <v>165.0</v>
      </c>
      <c r="E39" s="11">
        <v>57.0</v>
      </c>
      <c r="F39" s="9">
        <v>1.0</v>
      </c>
      <c r="G39" s="9" t="s">
        <v>45</v>
      </c>
      <c r="H39" s="11">
        <v>3.0</v>
      </c>
      <c r="I39" s="9">
        <v>0.0</v>
      </c>
      <c r="J39" s="9" t="s">
        <v>50</v>
      </c>
      <c r="K39" s="9">
        <v>0.0</v>
      </c>
      <c r="L39" s="9" t="s">
        <v>47</v>
      </c>
      <c r="M39" s="11">
        <v>5.6</v>
      </c>
      <c r="N39" s="11">
        <v>7.9</v>
      </c>
      <c r="O39" s="9">
        <v>1.0</v>
      </c>
      <c r="P39" s="9" t="s">
        <v>48</v>
      </c>
      <c r="Q39" s="9">
        <v>1.0</v>
      </c>
      <c r="R39" s="9" t="s">
        <v>48</v>
      </c>
      <c r="S39" s="9">
        <v>1.0</v>
      </c>
      <c r="T39" s="9" t="s">
        <v>48</v>
      </c>
      <c r="U39" s="11">
        <v>10.0</v>
      </c>
    </row>
    <row r="40" ht="15.75" customHeight="1">
      <c r="A40" s="8">
        <v>39.0</v>
      </c>
      <c r="B40" s="9">
        <v>0.0</v>
      </c>
      <c r="C40" s="9" t="s">
        <v>54</v>
      </c>
      <c r="D40" s="11">
        <v>165.0</v>
      </c>
      <c r="E40" s="11">
        <v>58.0</v>
      </c>
      <c r="F40" s="9">
        <v>2.0</v>
      </c>
      <c r="G40" s="9" t="s">
        <v>55</v>
      </c>
      <c r="H40" s="11">
        <v>3.0</v>
      </c>
      <c r="I40" s="9">
        <v>0.0</v>
      </c>
      <c r="J40" s="9" t="s">
        <v>50</v>
      </c>
      <c r="K40" s="9">
        <v>0.0</v>
      </c>
      <c r="L40" s="9" t="s">
        <v>47</v>
      </c>
      <c r="M40" s="11">
        <v>6.1</v>
      </c>
      <c r="N40" s="11">
        <v>6.69</v>
      </c>
      <c r="O40" s="9">
        <v>1.0</v>
      </c>
      <c r="P40" s="9" t="s">
        <v>48</v>
      </c>
      <c r="Q40" s="9">
        <v>1.0</v>
      </c>
      <c r="R40" s="9" t="s">
        <v>48</v>
      </c>
      <c r="S40" s="9">
        <v>1.0</v>
      </c>
      <c r="T40" s="9" t="s">
        <v>48</v>
      </c>
      <c r="U40" s="11">
        <v>10.0</v>
      </c>
    </row>
    <row r="41" ht="15.75" customHeight="1">
      <c r="A41" s="8">
        <v>40.0</v>
      </c>
      <c r="B41" s="9">
        <v>0.0</v>
      </c>
      <c r="C41" s="9" t="s">
        <v>54</v>
      </c>
      <c r="D41" s="11">
        <v>163.0</v>
      </c>
      <c r="E41" s="11">
        <v>58.0</v>
      </c>
      <c r="F41" s="9">
        <v>2.0</v>
      </c>
      <c r="G41" s="9" t="s">
        <v>55</v>
      </c>
      <c r="H41" s="11">
        <v>3.0</v>
      </c>
      <c r="I41" s="9">
        <v>0.0</v>
      </c>
      <c r="J41" s="9" t="s">
        <v>50</v>
      </c>
      <c r="K41" s="9">
        <v>0.0</v>
      </c>
      <c r="L41" s="9" t="s">
        <v>47</v>
      </c>
      <c r="M41" s="11">
        <v>7.8</v>
      </c>
      <c r="N41" s="11">
        <v>10.9</v>
      </c>
      <c r="O41" s="9">
        <v>1.0</v>
      </c>
      <c r="P41" s="9" t="s">
        <v>48</v>
      </c>
      <c r="Q41" s="9">
        <v>1.0</v>
      </c>
      <c r="R41" s="9" t="s">
        <v>48</v>
      </c>
      <c r="S41" s="9">
        <v>1.0</v>
      </c>
      <c r="T41" s="9" t="s">
        <v>48</v>
      </c>
      <c r="U41" s="11">
        <v>15.0</v>
      </c>
    </row>
    <row r="42" ht="15.75" customHeight="1">
      <c r="A42" s="8">
        <v>41.0</v>
      </c>
      <c r="B42" s="9">
        <v>1.0</v>
      </c>
      <c r="C42" s="9" t="s">
        <v>44</v>
      </c>
      <c r="D42" s="11">
        <v>183.0</v>
      </c>
      <c r="E42" s="11">
        <v>78.0</v>
      </c>
      <c r="F42" s="9">
        <v>4.0</v>
      </c>
      <c r="G42" s="9" t="s">
        <v>56</v>
      </c>
      <c r="H42" s="11">
        <v>1.0</v>
      </c>
      <c r="I42" s="9">
        <v>0.0</v>
      </c>
      <c r="J42" s="9" t="s">
        <v>50</v>
      </c>
      <c r="K42" s="9">
        <v>1.0</v>
      </c>
      <c r="L42" s="9" t="s">
        <v>51</v>
      </c>
      <c r="M42" s="11">
        <v>7.1</v>
      </c>
      <c r="N42" s="11">
        <v>9.2</v>
      </c>
      <c r="O42" s="9">
        <v>1.0</v>
      </c>
      <c r="P42" s="9" t="s">
        <v>48</v>
      </c>
      <c r="Q42" s="9">
        <v>1.0</v>
      </c>
      <c r="R42" s="9" t="s">
        <v>48</v>
      </c>
      <c r="S42" s="9">
        <v>1.0</v>
      </c>
      <c r="T42" s="9" t="s">
        <v>48</v>
      </c>
      <c r="U42" s="11">
        <v>35.0</v>
      </c>
    </row>
    <row r="43" ht="15.75" customHeight="1">
      <c r="A43" s="8">
        <v>42.0</v>
      </c>
      <c r="B43" s="9">
        <v>0.0</v>
      </c>
      <c r="C43" s="9" t="s">
        <v>54</v>
      </c>
      <c r="D43" s="11">
        <v>165.0</v>
      </c>
      <c r="E43" s="11">
        <v>50.0</v>
      </c>
      <c r="F43" s="9">
        <v>2.0</v>
      </c>
      <c r="G43" s="9" t="s">
        <v>55</v>
      </c>
      <c r="H43" s="11">
        <v>5.0</v>
      </c>
      <c r="I43" s="9">
        <v>0.0</v>
      </c>
      <c r="J43" s="9" t="s">
        <v>50</v>
      </c>
      <c r="K43" s="9">
        <v>0.0</v>
      </c>
      <c r="L43" s="9" t="s">
        <v>47</v>
      </c>
      <c r="M43" s="11">
        <v>6.01</v>
      </c>
      <c r="N43" s="11">
        <v>5.3</v>
      </c>
      <c r="O43" s="9">
        <v>1.0</v>
      </c>
      <c r="P43" s="9" t="s">
        <v>48</v>
      </c>
      <c r="Q43" s="9">
        <v>1.0</v>
      </c>
      <c r="R43" s="9" t="s">
        <v>48</v>
      </c>
      <c r="S43" s="9">
        <v>1.0</v>
      </c>
      <c r="T43" s="9" t="s">
        <v>48</v>
      </c>
      <c r="U43" s="11">
        <v>20.0</v>
      </c>
    </row>
    <row r="44" ht="15.75" customHeight="1">
      <c r="A44" s="8">
        <v>43.0</v>
      </c>
      <c r="B44" s="9">
        <v>1.0</v>
      </c>
      <c r="C44" s="9" t="s">
        <v>44</v>
      </c>
      <c r="D44" s="11">
        <v>180.0</v>
      </c>
      <c r="E44" s="11">
        <v>71.0</v>
      </c>
      <c r="F44" s="9">
        <v>4.0</v>
      </c>
      <c r="G44" s="9" t="s">
        <v>56</v>
      </c>
      <c r="H44" s="11">
        <v>2.0</v>
      </c>
      <c r="I44" s="9">
        <v>0.0</v>
      </c>
      <c r="J44" s="9" t="s">
        <v>50</v>
      </c>
      <c r="K44" s="9">
        <v>0.0</v>
      </c>
      <c r="L44" s="9" t="s">
        <v>47</v>
      </c>
      <c r="M44" s="11">
        <v>5.6</v>
      </c>
      <c r="N44" s="11">
        <v>6.5</v>
      </c>
      <c r="O44" s="9">
        <v>1.0</v>
      </c>
      <c r="P44" s="9" t="s">
        <v>48</v>
      </c>
      <c r="Q44" s="9">
        <v>1.0</v>
      </c>
      <c r="R44" s="9" t="s">
        <v>48</v>
      </c>
      <c r="S44" s="9">
        <v>1.0</v>
      </c>
      <c r="T44" s="9" t="s">
        <v>48</v>
      </c>
      <c r="U44" s="11">
        <v>14.0</v>
      </c>
    </row>
    <row r="45" ht="15.75" customHeight="1">
      <c r="A45" s="8">
        <v>44.0</v>
      </c>
      <c r="B45" s="9">
        <v>1.0</v>
      </c>
      <c r="C45" s="9" t="s">
        <v>44</v>
      </c>
      <c r="D45" s="11">
        <v>171.0</v>
      </c>
      <c r="E45" s="11">
        <v>70.0</v>
      </c>
      <c r="F45" s="9">
        <v>3.0</v>
      </c>
      <c r="G45" s="9" t="s">
        <v>49</v>
      </c>
      <c r="H45" s="11">
        <v>1.0</v>
      </c>
      <c r="I45" s="9">
        <v>2.0</v>
      </c>
      <c r="J45" s="9" t="s">
        <v>52</v>
      </c>
      <c r="K45" s="9">
        <v>0.0</v>
      </c>
      <c r="L45" s="9" t="s">
        <v>47</v>
      </c>
      <c r="M45" s="11">
        <v>6.8</v>
      </c>
      <c r="N45" s="11">
        <v>9.2</v>
      </c>
      <c r="O45" s="9">
        <v>1.0</v>
      </c>
      <c r="P45" s="9" t="s">
        <v>48</v>
      </c>
      <c r="Q45" s="9">
        <v>1.0</v>
      </c>
      <c r="R45" s="9" t="s">
        <v>48</v>
      </c>
      <c r="S45" s="9">
        <v>1.0</v>
      </c>
      <c r="T45" s="9" t="s">
        <v>48</v>
      </c>
      <c r="U45" s="11">
        <v>10.0</v>
      </c>
    </row>
    <row r="46" ht="15.75" customHeight="1">
      <c r="A46" s="8">
        <v>45.0</v>
      </c>
      <c r="B46" s="9">
        <v>0.0</v>
      </c>
      <c r="C46" s="9" t="s">
        <v>54</v>
      </c>
      <c r="D46" s="11">
        <v>165.0</v>
      </c>
      <c r="E46" s="11">
        <v>60.0</v>
      </c>
      <c r="F46" s="9">
        <v>1.0</v>
      </c>
      <c r="G46" s="9" t="s">
        <v>45</v>
      </c>
      <c r="H46" s="11">
        <v>2.0</v>
      </c>
      <c r="I46" s="9">
        <v>3.0</v>
      </c>
      <c r="J46" s="9" t="s">
        <v>46</v>
      </c>
      <c r="K46" s="9">
        <v>1.0</v>
      </c>
      <c r="L46" s="9" t="s">
        <v>51</v>
      </c>
      <c r="M46" s="11">
        <v>5.6</v>
      </c>
      <c r="N46" s="11">
        <v>6.8</v>
      </c>
      <c r="O46" s="9">
        <v>1.0</v>
      </c>
      <c r="P46" s="9" t="s">
        <v>48</v>
      </c>
      <c r="Q46" s="9">
        <v>1.0</v>
      </c>
      <c r="R46" s="9" t="s">
        <v>48</v>
      </c>
      <c r="S46" s="9">
        <v>1.0</v>
      </c>
      <c r="T46" s="9" t="s">
        <v>48</v>
      </c>
      <c r="U46" s="11">
        <v>5.0</v>
      </c>
    </row>
    <row r="47" ht="15.75" customHeight="1">
      <c r="A47" s="8">
        <v>46.0</v>
      </c>
      <c r="B47" s="9">
        <v>1.0</v>
      </c>
      <c r="C47" s="9" t="s">
        <v>44</v>
      </c>
      <c r="D47" s="11">
        <v>186.0</v>
      </c>
      <c r="E47" s="11">
        <v>71.0</v>
      </c>
      <c r="F47" s="9">
        <v>3.0</v>
      </c>
      <c r="G47" s="9" t="s">
        <v>49</v>
      </c>
      <c r="H47" s="11"/>
      <c r="I47" s="9">
        <v>0.0</v>
      </c>
      <c r="J47" s="9" t="s">
        <v>50</v>
      </c>
      <c r="K47" s="9">
        <v>1.0</v>
      </c>
      <c r="L47" s="9" t="s">
        <v>51</v>
      </c>
      <c r="M47" s="11">
        <v>7.0</v>
      </c>
      <c r="N47" s="11">
        <v>6.0</v>
      </c>
      <c r="O47" s="9">
        <v>1.0</v>
      </c>
      <c r="P47" s="9" t="s">
        <v>48</v>
      </c>
      <c r="Q47" s="9">
        <v>1.0</v>
      </c>
      <c r="R47" s="9" t="s">
        <v>48</v>
      </c>
      <c r="S47" s="9">
        <v>1.0</v>
      </c>
      <c r="T47" s="9" t="s">
        <v>48</v>
      </c>
      <c r="U47" s="11">
        <v>6.0</v>
      </c>
    </row>
    <row r="48" ht="15.75" customHeight="1">
      <c r="A48" s="8">
        <v>47.0</v>
      </c>
      <c r="B48" s="9">
        <v>1.0</v>
      </c>
      <c r="C48" s="9" t="s">
        <v>44</v>
      </c>
      <c r="D48" s="23">
        <v>187.0</v>
      </c>
      <c r="E48" s="11">
        <v>82.0</v>
      </c>
      <c r="F48" s="9">
        <v>4.0</v>
      </c>
      <c r="G48" s="9" t="s">
        <v>56</v>
      </c>
      <c r="H48" s="11">
        <v>3.0</v>
      </c>
      <c r="I48" s="9">
        <v>0.0</v>
      </c>
      <c r="J48" s="9" t="s">
        <v>50</v>
      </c>
      <c r="K48" s="9">
        <v>0.0</v>
      </c>
      <c r="L48" s="9" t="s">
        <v>47</v>
      </c>
      <c r="M48" s="11">
        <v>5.9</v>
      </c>
      <c r="N48" s="23"/>
      <c r="O48" s="9">
        <v>1.0</v>
      </c>
      <c r="P48" s="9" t="s">
        <v>48</v>
      </c>
      <c r="Q48" s="9">
        <v>1.0</v>
      </c>
      <c r="R48" s="9" t="s">
        <v>48</v>
      </c>
      <c r="S48" s="9">
        <v>1.0</v>
      </c>
      <c r="T48" s="9" t="s">
        <v>48</v>
      </c>
      <c r="U48" s="11">
        <v>2.0</v>
      </c>
    </row>
    <row r="49" ht="15.75" customHeight="1">
      <c r="A49" s="8">
        <v>48.0</v>
      </c>
      <c r="B49" s="9">
        <v>1.0</v>
      </c>
      <c r="C49" s="9" t="s">
        <v>44</v>
      </c>
      <c r="D49" s="23">
        <v>175.0</v>
      </c>
      <c r="E49" s="11">
        <v>70.0</v>
      </c>
      <c r="F49" s="9">
        <v>3.0</v>
      </c>
      <c r="G49" s="9" t="s">
        <v>49</v>
      </c>
      <c r="H49" s="11">
        <v>6.0</v>
      </c>
      <c r="I49" s="9">
        <v>0.0</v>
      </c>
      <c r="J49" s="9" t="s">
        <v>50</v>
      </c>
      <c r="K49" s="9">
        <v>1.0</v>
      </c>
      <c r="L49" s="9" t="s">
        <v>51</v>
      </c>
      <c r="M49" s="11">
        <v>5.0</v>
      </c>
      <c r="N49" s="11">
        <v>7.0</v>
      </c>
      <c r="O49" s="9">
        <v>1.0</v>
      </c>
      <c r="P49" s="9" t="s">
        <v>48</v>
      </c>
      <c r="Q49" s="9">
        <v>1.0</v>
      </c>
      <c r="R49" s="9" t="s">
        <v>48</v>
      </c>
      <c r="S49" s="9">
        <v>1.0</v>
      </c>
      <c r="T49" s="9" t="s">
        <v>48</v>
      </c>
      <c r="U49" s="11">
        <v>70.0</v>
      </c>
    </row>
    <row r="50" ht="15.75" customHeight="1">
      <c r="A50" s="8">
        <v>49.0</v>
      </c>
      <c r="B50" s="9">
        <v>1.0</v>
      </c>
      <c r="C50" s="9" t="s">
        <v>44</v>
      </c>
      <c r="D50" s="23">
        <v>180.0</v>
      </c>
      <c r="E50" s="11">
        <v>71.0</v>
      </c>
      <c r="F50" s="9">
        <v>2.0</v>
      </c>
      <c r="G50" s="9" t="s">
        <v>55</v>
      </c>
      <c r="H50" s="11">
        <v>2.0</v>
      </c>
      <c r="I50" s="9">
        <v>3.0</v>
      </c>
      <c r="J50" s="9" t="s">
        <v>46</v>
      </c>
      <c r="K50" s="9">
        <v>0.0</v>
      </c>
      <c r="L50" s="9" t="s">
        <v>47</v>
      </c>
      <c r="M50" s="11">
        <v>8.0</v>
      </c>
      <c r="N50" s="11">
        <v>9.0</v>
      </c>
      <c r="O50" s="9">
        <v>1.0</v>
      </c>
      <c r="P50" s="9" t="s">
        <v>48</v>
      </c>
      <c r="Q50" s="9">
        <v>1.0</v>
      </c>
      <c r="R50" s="9" t="s">
        <v>48</v>
      </c>
      <c r="S50" s="9">
        <v>1.0</v>
      </c>
      <c r="T50" s="9" t="s">
        <v>48</v>
      </c>
      <c r="U50" s="11">
        <v>10.0</v>
      </c>
    </row>
    <row r="51" ht="15.75" customHeight="1">
      <c r="A51" s="8">
        <v>50.0</v>
      </c>
      <c r="B51" s="9">
        <v>1.0</v>
      </c>
      <c r="C51" s="9" t="s">
        <v>44</v>
      </c>
      <c r="D51" s="23">
        <v>180.0</v>
      </c>
      <c r="E51" s="11">
        <v>70.0</v>
      </c>
      <c r="F51" s="9">
        <v>3.0</v>
      </c>
      <c r="G51" s="9" t="s">
        <v>49</v>
      </c>
      <c r="H51" s="11">
        <v>2.0</v>
      </c>
      <c r="I51" s="9">
        <v>0.0</v>
      </c>
      <c r="J51" s="9" t="s">
        <v>50</v>
      </c>
      <c r="K51" s="9">
        <v>0.0</v>
      </c>
      <c r="L51" s="9" t="s">
        <v>47</v>
      </c>
      <c r="M51" s="11">
        <v>6.2</v>
      </c>
      <c r="N51" s="11">
        <v>8.1</v>
      </c>
      <c r="O51" s="9">
        <v>1.0</v>
      </c>
      <c r="P51" s="9" t="s">
        <v>48</v>
      </c>
      <c r="Q51" s="9">
        <v>1.0</v>
      </c>
      <c r="R51" s="9" t="s">
        <v>48</v>
      </c>
      <c r="S51" s="9">
        <v>1.0</v>
      </c>
      <c r="T51" s="9" t="s">
        <v>48</v>
      </c>
      <c r="U51" s="11">
        <v>3.0</v>
      </c>
    </row>
    <row r="52" ht="15.75" customHeight="1">
      <c r="A52" s="8">
        <v>51.0</v>
      </c>
      <c r="B52" s="9">
        <v>1.0</v>
      </c>
      <c r="C52" s="9" t="s">
        <v>44</v>
      </c>
      <c r="D52" s="11">
        <v>168.0</v>
      </c>
      <c r="E52" s="11">
        <v>65.0</v>
      </c>
      <c r="F52" s="9">
        <v>3.0</v>
      </c>
      <c r="G52" s="9" t="s">
        <v>49</v>
      </c>
      <c r="H52" s="11">
        <v>2.0</v>
      </c>
      <c r="I52" s="9">
        <v>0.0</v>
      </c>
      <c r="J52" s="9" t="s">
        <v>50</v>
      </c>
      <c r="K52" s="9">
        <v>1.0</v>
      </c>
      <c r="L52" s="9" t="s">
        <v>51</v>
      </c>
      <c r="M52" s="11">
        <v>5.3</v>
      </c>
      <c r="N52" s="11">
        <v>7.2</v>
      </c>
      <c r="O52" s="9">
        <v>1.0</v>
      </c>
      <c r="P52" s="9" t="s">
        <v>48</v>
      </c>
      <c r="Q52" s="9">
        <v>1.0</v>
      </c>
      <c r="R52" s="9" t="s">
        <v>48</v>
      </c>
      <c r="S52" s="9">
        <v>1.0</v>
      </c>
      <c r="T52" s="9" t="s">
        <v>48</v>
      </c>
      <c r="U52" s="11">
        <v>7.0</v>
      </c>
    </row>
    <row r="53" ht="15.75" customHeight="1">
      <c r="A53" s="8">
        <v>52.0</v>
      </c>
      <c r="B53" s="9">
        <v>1.0</v>
      </c>
      <c r="C53" s="9" t="s">
        <v>44</v>
      </c>
      <c r="D53" s="11">
        <v>190.0</v>
      </c>
      <c r="E53" s="11">
        <v>75.0</v>
      </c>
      <c r="F53" s="9">
        <v>2.0</v>
      </c>
      <c r="G53" s="9" t="s">
        <v>55</v>
      </c>
      <c r="H53" s="11">
        <v>3.0</v>
      </c>
      <c r="I53" s="9">
        <v>3.0</v>
      </c>
      <c r="J53" s="9" t="s">
        <v>46</v>
      </c>
      <c r="K53" s="9">
        <v>0.0</v>
      </c>
      <c r="L53" s="9" t="s">
        <v>47</v>
      </c>
      <c r="M53" s="11">
        <v>6.72</v>
      </c>
      <c r="N53" s="11">
        <v>7.43</v>
      </c>
      <c r="O53" s="9">
        <v>1.0</v>
      </c>
      <c r="P53" s="9" t="s">
        <v>48</v>
      </c>
      <c r="Q53" s="9">
        <v>1.0</v>
      </c>
      <c r="R53" s="9" t="s">
        <v>48</v>
      </c>
      <c r="S53" s="9">
        <v>1.0</v>
      </c>
      <c r="T53" s="9" t="s">
        <v>48</v>
      </c>
      <c r="U53" s="11">
        <v>30.0</v>
      </c>
    </row>
    <row r="54" ht="15.75" customHeight="1">
      <c r="A54" s="8">
        <v>53.0</v>
      </c>
      <c r="B54" s="9">
        <v>0.0</v>
      </c>
      <c r="C54" s="9" t="s">
        <v>54</v>
      </c>
      <c r="D54" s="11">
        <v>187.0</v>
      </c>
      <c r="E54" s="11">
        <v>70.0</v>
      </c>
      <c r="F54" s="9">
        <v>2.0</v>
      </c>
      <c r="G54" s="9" t="s">
        <v>55</v>
      </c>
      <c r="H54" s="11">
        <v>2.0</v>
      </c>
      <c r="I54" s="9">
        <v>2.0</v>
      </c>
      <c r="J54" s="9" t="s">
        <v>52</v>
      </c>
      <c r="K54" s="9">
        <v>0.0</v>
      </c>
      <c r="L54" s="9" t="s">
        <v>47</v>
      </c>
      <c r="M54" s="11">
        <v>6.0</v>
      </c>
      <c r="N54" s="11">
        <v>10.0</v>
      </c>
      <c r="O54" s="9">
        <v>1.0</v>
      </c>
      <c r="P54" s="9" t="s">
        <v>48</v>
      </c>
      <c r="Q54" s="9">
        <v>1.0</v>
      </c>
      <c r="R54" s="9" t="s">
        <v>48</v>
      </c>
      <c r="S54" s="9">
        <v>1.0</v>
      </c>
      <c r="T54" s="9" t="s">
        <v>48</v>
      </c>
      <c r="U54" s="11">
        <v>1.0</v>
      </c>
    </row>
    <row r="55" ht="15.75" customHeight="1">
      <c r="A55" s="8">
        <v>54.0</v>
      </c>
      <c r="B55" s="9">
        <v>1.0</v>
      </c>
      <c r="C55" s="9" t="s">
        <v>44</v>
      </c>
      <c r="D55" s="11">
        <v>169.0</v>
      </c>
      <c r="E55" s="11">
        <v>72.0</v>
      </c>
      <c r="F55" s="9">
        <v>2.0</v>
      </c>
      <c r="G55" s="9" t="s">
        <v>55</v>
      </c>
      <c r="H55" s="11">
        <v>1.0</v>
      </c>
      <c r="I55" s="9">
        <v>3.0</v>
      </c>
      <c r="J55" s="9" t="s">
        <v>46</v>
      </c>
      <c r="K55" s="9">
        <v>1.0</v>
      </c>
      <c r="L55" s="9" t="s">
        <v>51</v>
      </c>
      <c r="M55" s="11">
        <v>6.7</v>
      </c>
      <c r="N55" s="11">
        <v>8.5</v>
      </c>
      <c r="O55" s="9">
        <v>1.0</v>
      </c>
      <c r="P55" s="9" t="s">
        <v>48</v>
      </c>
      <c r="Q55" s="9">
        <v>1.0</v>
      </c>
      <c r="R55" s="9" t="s">
        <v>48</v>
      </c>
      <c r="S55" s="9">
        <v>1.0</v>
      </c>
      <c r="T55" s="9" t="s">
        <v>48</v>
      </c>
      <c r="U55" s="11">
        <v>10.0</v>
      </c>
    </row>
    <row r="56" ht="15.75" customHeight="1">
      <c r="A56" s="8">
        <v>55.0</v>
      </c>
      <c r="B56" s="9">
        <v>1.0</v>
      </c>
      <c r="C56" s="9" t="s">
        <v>44</v>
      </c>
      <c r="D56" s="11">
        <v>175.0</v>
      </c>
      <c r="E56" s="11">
        <v>73.0</v>
      </c>
      <c r="F56" s="9">
        <v>3.0</v>
      </c>
      <c r="G56" s="9" t="s">
        <v>49</v>
      </c>
      <c r="H56" s="11">
        <v>2.0</v>
      </c>
      <c r="I56" s="9">
        <v>3.0</v>
      </c>
      <c r="J56" s="9" t="s">
        <v>46</v>
      </c>
      <c r="K56" s="9">
        <v>0.0</v>
      </c>
      <c r="L56" s="9" t="s">
        <v>47</v>
      </c>
      <c r="M56" s="11">
        <v>7.0</v>
      </c>
      <c r="N56" s="11">
        <v>9.8</v>
      </c>
      <c r="O56" s="9">
        <v>1.0</v>
      </c>
      <c r="P56" s="9" t="s">
        <v>48</v>
      </c>
      <c r="Q56" s="9">
        <v>1.0</v>
      </c>
      <c r="R56" s="9" t="s">
        <v>48</v>
      </c>
      <c r="S56" s="9">
        <v>1.0</v>
      </c>
      <c r="T56" s="9" t="s">
        <v>48</v>
      </c>
      <c r="U56" s="11">
        <v>3.0</v>
      </c>
    </row>
    <row r="57" ht="15.75" customHeight="1">
      <c r="A57" s="8">
        <v>56.0</v>
      </c>
      <c r="B57" s="9">
        <v>1.0</v>
      </c>
      <c r="C57" s="9" t="s">
        <v>44</v>
      </c>
      <c r="D57" s="11">
        <v>165.0</v>
      </c>
      <c r="E57" s="11">
        <v>75.0</v>
      </c>
      <c r="F57" s="9">
        <v>1.0</v>
      </c>
      <c r="G57" s="9" t="s">
        <v>45</v>
      </c>
      <c r="H57" s="11">
        <v>3.0</v>
      </c>
      <c r="I57" s="9">
        <v>0.0</v>
      </c>
      <c r="J57" s="9" t="s">
        <v>50</v>
      </c>
      <c r="K57" s="9">
        <v>0.0</v>
      </c>
      <c r="L57" s="9" t="s">
        <v>47</v>
      </c>
      <c r="M57" s="23"/>
      <c r="N57" s="23"/>
      <c r="O57" s="9">
        <v>1.0</v>
      </c>
      <c r="P57" s="9" t="s">
        <v>48</v>
      </c>
      <c r="Q57" s="9">
        <v>1.0</v>
      </c>
      <c r="R57" s="9" t="s">
        <v>48</v>
      </c>
      <c r="S57" s="9">
        <v>0.0</v>
      </c>
      <c r="T57" s="9" t="s">
        <v>53</v>
      </c>
      <c r="U57" s="11">
        <v>0.0</v>
      </c>
    </row>
    <row r="58" ht="15.75" customHeight="1">
      <c r="A58" s="8">
        <v>57.0</v>
      </c>
      <c r="B58" s="9">
        <v>1.0</v>
      </c>
      <c r="C58" s="9" t="s">
        <v>44</v>
      </c>
      <c r="D58" s="11">
        <v>176.0</v>
      </c>
      <c r="E58" s="11">
        <v>90.0</v>
      </c>
      <c r="F58" s="9">
        <v>2.0</v>
      </c>
      <c r="G58" s="9" t="s">
        <v>55</v>
      </c>
      <c r="H58" s="11">
        <v>2.0</v>
      </c>
      <c r="I58" s="9">
        <v>1.0</v>
      </c>
      <c r="J58" s="9" t="s">
        <v>57</v>
      </c>
      <c r="K58" s="9">
        <v>0.0</v>
      </c>
      <c r="L58" s="9" t="s">
        <v>47</v>
      </c>
      <c r="M58" s="11">
        <v>6.2</v>
      </c>
      <c r="N58" s="11">
        <v>7.4</v>
      </c>
      <c r="O58" s="9">
        <v>1.0</v>
      </c>
      <c r="P58" s="9" t="s">
        <v>48</v>
      </c>
      <c r="Q58" s="9">
        <v>1.0</v>
      </c>
      <c r="R58" s="9" t="s">
        <v>48</v>
      </c>
      <c r="S58" s="9">
        <v>1.0</v>
      </c>
      <c r="T58" s="9" t="s">
        <v>48</v>
      </c>
      <c r="U58" s="11">
        <v>15.0</v>
      </c>
    </row>
    <row r="59" ht="15.75" customHeight="1">
      <c r="A59" s="8">
        <v>58.0</v>
      </c>
      <c r="B59" s="9">
        <v>1.0</v>
      </c>
      <c r="C59" s="9" t="s">
        <v>44</v>
      </c>
      <c r="D59" s="11">
        <v>178.0</v>
      </c>
      <c r="E59" s="11">
        <v>67.5</v>
      </c>
      <c r="F59" s="9">
        <v>2.0</v>
      </c>
      <c r="G59" s="9" t="s">
        <v>55</v>
      </c>
      <c r="H59" s="11">
        <v>2.0</v>
      </c>
      <c r="I59" s="9">
        <v>1.0</v>
      </c>
      <c r="J59" s="9" t="s">
        <v>57</v>
      </c>
      <c r="K59" s="9">
        <v>0.0</v>
      </c>
      <c r="L59" s="9" t="s">
        <v>47</v>
      </c>
      <c r="M59" s="11">
        <v>5.7</v>
      </c>
      <c r="N59" s="11">
        <v>6.3</v>
      </c>
      <c r="O59" s="9">
        <v>1.0</v>
      </c>
      <c r="P59" s="9" t="s">
        <v>48</v>
      </c>
      <c r="Q59" s="9">
        <v>1.0</v>
      </c>
      <c r="R59" s="9" t="s">
        <v>48</v>
      </c>
      <c r="S59" s="9">
        <v>1.0</v>
      </c>
      <c r="T59" s="9" t="s">
        <v>48</v>
      </c>
      <c r="U59" s="11">
        <v>3.0</v>
      </c>
    </row>
    <row r="60" ht="15.75" customHeight="1">
      <c r="A60" s="8">
        <v>59.0</v>
      </c>
      <c r="B60" s="9">
        <v>1.0</v>
      </c>
      <c r="C60" s="9" t="s">
        <v>44</v>
      </c>
      <c r="D60" s="11">
        <v>165.0</v>
      </c>
      <c r="E60" s="11">
        <v>70.0</v>
      </c>
      <c r="F60" s="9">
        <v>1.0</v>
      </c>
      <c r="G60" s="9" t="s">
        <v>45</v>
      </c>
      <c r="H60" s="11">
        <v>3.0</v>
      </c>
      <c r="I60" s="9">
        <v>0.0</v>
      </c>
      <c r="J60" s="9" t="s">
        <v>50</v>
      </c>
      <c r="K60" s="9">
        <v>0.0</v>
      </c>
      <c r="L60" s="9" t="s">
        <v>47</v>
      </c>
      <c r="M60" s="11">
        <v>7.7</v>
      </c>
      <c r="N60" s="11">
        <v>9.1</v>
      </c>
      <c r="O60" s="9">
        <v>1.0</v>
      </c>
      <c r="P60" s="9" t="s">
        <v>48</v>
      </c>
      <c r="Q60" s="9">
        <v>0.0</v>
      </c>
      <c r="R60" s="9" t="s">
        <v>53</v>
      </c>
      <c r="S60" s="9">
        <v>1.0</v>
      </c>
      <c r="T60" s="9" t="s">
        <v>48</v>
      </c>
      <c r="U60" s="11">
        <v>5.0</v>
      </c>
    </row>
    <row r="61" ht="15.75" customHeight="1">
      <c r="A61" s="8">
        <v>60.0</v>
      </c>
      <c r="B61" s="9">
        <v>1.0</v>
      </c>
      <c r="C61" s="9" t="s">
        <v>44</v>
      </c>
      <c r="D61" s="11">
        <v>174.0</v>
      </c>
      <c r="E61" s="11">
        <v>70.0</v>
      </c>
      <c r="F61" s="9">
        <v>1.0</v>
      </c>
      <c r="G61" s="9" t="s">
        <v>45</v>
      </c>
      <c r="H61" s="11"/>
      <c r="I61" s="9">
        <v>0.0</v>
      </c>
      <c r="J61" s="9" t="s">
        <v>50</v>
      </c>
      <c r="K61" s="9">
        <v>1.0</v>
      </c>
      <c r="L61" s="9" t="s">
        <v>51</v>
      </c>
      <c r="M61" s="11">
        <v>8.5</v>
      </c>
      <c r="N61" s="11">
        <v>11.1</v>
      </c>
      <c r="O61" s="9">
        <v>1.0</v>
      </c>
      <c r="P61" s="9" t="s">
        <v>48</v>
      </c>
      <c r="Q61" s="9">
        <v>1.0</v>
      </c>
      <c r="R61" s="9" t="s">
        <v>48</v>
      </c>
      <c r="S61" s="9">
        <v>1.0</v>
      </c>
      <c r="T61" s="9" t="s">
        <v>48</v>
      </c>
      <c r="U61" s="11">
        <v>1.0</v>
      </c>
    </row>
    <row r="62" ht="15.75" customHeight="1">
      <c r="A62" s="8">
        <v>61.0</v>
      </c>
      <c r="B62" s="9">
        <v>0.0</v>
      </c>
      <c r="C62" s="9" t="s">
        <v>54</v>
      </c>
      <c r="D62" s="11">
        <v>175.0</v>
      </c>
      <c r="E62" s="11">
        <v>70.0</v>
      </c>
      <c r="F62" s="9">
        <v>1.0</v>
      </c>
      <c r="G62" s="9" t="s">
        <v>45</v>
      </c>
      <c r="H62" s="11">
        <v>2.0</v>
      </c>
      <c r="I62" s="9">
        <v>3.0</v>
      </c>
      <c r="J62" s="9" t="s">
        <v>46</v>
      </c>
      <c r="K62" s="9">
        <v>0.0</v>
      </c>
      <c r="L62" s="9" t="s">
        <v>47</v>
      </c>
      <c r="M62" s="11">
        <v>9.3</v>
      </c>
      <c r="N62" s="11">
        <v>8.9</v>
      </c>
      <c r="O62" s="9">
        <v>1.0</v>
      </c>
      <c r="P62" s="9" t="s">
        <v>48</v>
      </c>
      <c r="Q62" s="9">
        <v>1.0</v>
      </c>
      <c r="R62" s="9" t="s">
        <v>48</v>
      </c>
      <c r="S62" s="9">
        <v>1.0</v>
      </c>
      <c r="T62" s="9" t="s">
        <v>48</v>
      </c>
      <c r="U62" s="11">
        <v>7.0</v>
      </c>
    </row>
    <row r="63" ht="15.75" customHeight="1">
      <c r="A63" s="8">
        <v>62.0</v>
      </c>
      <c r="B63" s="25"/>
      <c r="C63" s="25"/>
      <c r="D63" s="11">
        <v>166.0</v>
      </c>
      <c r="E63" s="23"/>
      <c r="F63" s="25"/>
      <c r="G63" s="25"/>
      <c r="H63" s="23"/>
      <c r="I63" s="25"/>
      <c r="J63" s="25"/>
      <c r="K63" s="25"/>
      <c r="L63" s="25"/>
      <c r="M63" s="23"/>
      <c r="N63" s="23"/>
      <c r="O63" s="25"/>
      <c r="P63" s="25"/>
      <c r="Q63" s="25"/>
      <c r="R63" s="25"/>
      <c r="S63" s="25"/>
      <c r="T63" s="25"/>
      <c r="U63" s="23"/>
    </row>
    <row r="64" ht="15.75" customHeight="1">
      <c r="A64" s="8">
        <v>63.0</v>
      </c>
      <c r="B64" s="9">
        <v>0.0</v>
      </c>
      <c r="C64" s="9" t="s">
        <v>54</v>
      </c>
      <c r="D64" s="23">
        <v>158.0</v>
      </c>
      <c r="E64" s="11">
        <v>45.0</v>
      </c>
      <c r="F64" s="9">
        <v>1.0</v>
      </c>
      <c r="G64" s="9" t="s">
        <v>45</v>
      </c>
      <c r="H64" s="11">
        <v>1.0</v>
      </c>
      <c r="I64" s="9">
        <v>2.0</v>
      </c>
      <c r="J64" s="9" t="s">
        <v>52</v>
      </c>
      <c r="K64" s="9">
        <v>0.0</v>
      </c>
      <c r="L64" s="9" t="s">
        <v>47</v>
      </c>
      <c r="M64" s="11">
        <v>8.63</v>
      </c>
      <c r="N64" s="11">
        <v>12.4</v>
      </c>
      <c r="O64" s="9">
        <v>1.0</v>
      </c>
      <c r="P64" s="9" t="s">
        <v>48</v>
      </c>
      <c r="Q64" s="9">
        <v>1.0</v>
      </c>
      <c r="R64" s="9" t="s">
        <v>48</v>
      </c>
      <c r="S64" s="9">
        <v>1.0</v>
      </c>
      <c r="T64" s="9" t="s">
        <v>48</v>
      </c>
      <c r="U64" s="11">
        <v>2.0</v>
      </c>
    </row>
    <row r="65" ht="15.75" customHeight="1">
      <c r="A65" s="8">
        <v>64.0</v>
      </c>
      <c r="B65" s="9">
        <v>1.0</v>
      </c>
      <c r="C65" s="9" t="s">
        <v>44</v>
      </c>
      <c r="D65" s="23">
        <v>175.0</v>
      </c>
      <c r="E65" s="11">
        <v>80.0</v>
      </c>
      <c r="F65" s="9">
        <v>2.0</v>
      </c>
      <c r="G65" s="9" t="s">
        <v>55</v>
      </c>
      <c r="H65" s="11">
        <v>4.0</v>
      </c>
      <c r="I65" s="9">
        <v>0.0</v>
      </c>
      <c r="J65" s="9" t="s">
        <v>50</v>
      </c>
      <c r="K65" s="9">
        <v>0.0</v>
      </c>
      <c r="L65" s="9" t="s">
        <v>47</v>
      </c>
      <c r="M65" s="11">
        <v>6.5</v>
      </c>
      <c r="N65" s="11">
        <v>6.5</v>
      </c>
      <c r="O65" s="9">
        <v>1.0</v>
      </c>
      <c r="P65" s="9" t="s">
        <v>48</v>
      </c>
      <c r="Q65" s="9">
        <v>0.0</v>
      </c>
      <c r="R65" s="9" t="s">
        <v>53</v>
      </c>
      <c r="S65" s="9">
        <v>1.0</v>
      </c>
      <c r="T65" s="9" t="s">
        <v>48</v>
      </c>
      <c r="U65" s="11">
        <v>25.0</v>
      </c>
    </row>
    <row r="66" ht="15.75" customHeight="1">
      <c r="A66" s="8">
        <v>65.0</v>
      </c>
      <c r="B66" s="9">
        <v>1.0</v>
      </c>
      <c r="C66" s="9" t="s">
        <v>44</v>
      </c>
      <c r="D66" s="23">
        <v>190.0</v>
      </c>
      <c r="E66" s="11">
        <v>80.0</v>
      </c>
      <c r="F66" s="9">
        <v>2.0</v>
      </c>
      <c r="G66" s="9" t="s">
        <v>55</v>
      </c>
      <c r="H66" s="11">
        <v>2.0</v>
      </c>
      <c r="I66" s="9">
        <v>0.0</v>
      </c>
      <c r="J66" s="9" t="s">
        <v>50</v>
      </c>
      <c r="K66" s="9">
        <v>0.0</v>
      </c>
      <c r="L66" s="9" t="s">
        <v>47</v>
      </c>
      <c r="M66" s="11">
        <v>8.0</v>
      </c>
      <c r="N66" s="11">
        <v>9.0</v>
      </c>
      <c r="O66" s="9">
        <v>1.0</v>
      </c>
      <c r="P66" s="9" t="s">
        <v>48</v>
      </c>
      <c r="Q66" s="9">
        <v>1.0</v>
      </c>
      <c r="R66" s="9" t="s">
        <v>48</v>
      </c>
      <c r="S66" s="9">
        <v>1.0</v>
      </c>
      <c r="T66" s="9" t="s">
        <v>48</v>
      </c>
      <c r="U66" s="11">
        <v>30.0</v>
      </c>
    </row>
    <row r="67" ht="15.75" customHeight="1">
      <c r="A67" s="8">
        <v>66.0</v>
      </c>
      <c r="B67" s="9">
        <v>1.0</v>
      </c>
      <c r="C67" s="9" t="s">
        <v>44</v>
      </c>
      <c r="D67" s="23">
        <v>178.0</v>
      </c>
      <c r="E67" s="11">
        <v>72.0</v>
      </c>
      <c r="F67" s="9">
        <v>3.0</v>
      </c>
      <c r="G67" s="9" t="s">
        <v>49</v>
      </c>
      <c r="H67" s="11">
        <v>2.0</v>
      </c>
      <c r="I67" s="9">
        <v>0.0</v>
      </c>
      <c r="J67" s="9" t="s">
        <v>50</v>
      </c>
      <c r="K67" s="9">
        <v>0.0</v>
      </c>
      <c r="L67" s="9" t="s">
        <v>47</v>
      </c>
      <c r="M67" s="11">
        <v>7.1</v>
      </c>
      <c r="N67" s="11">
        <v>6.6</v>
      </c>
      <c r="O67" s="9">
        <v>1.0</v>
      </c>
      <c r="P67" s="9" t="s">
        <v>48</v>
      </c>
      <c r="Q67" s="9">
        <v>1.0</v>
      </c>
      <c r="R67" s="9" t="s">
        <v>48</v>
      </c>
      <c r="S67" s="9">
        <v>1.0</v>
      </c>
      <c r="T67" s="9" t="s">
        <v>48</v>
      </c>
      <c r="U67" s="11">
        <v>35.0</v>
      </c>
    </row>
    <row r="68" ht="15.75" customHeight="1">
      <c r="A68" s="8">
        <v>67.0</v>
      </c>
      <c r="B68" s="9">
        <v>1.0</v>
      </c>
      <c r="C68" s="9" t="s">
        <v>44</v>
      </c>
      <c r="D68" s="23">
        <v>166.0</v>
      </c>
      <c r="E68" s="11">
        <v>62.0</v>
      </c>
      <c r="F68" s="9">
        <v>4.0</v>
      </c>
      <c r="G68" s="9" t="s">
        <v>56</v>
      </c>
      <c r="H68" s="11"/>
      <c r="I68" s="9">
        <v>2.0</v>
      </c>
      <c r="J68" s="9" t="s">
        <v>52</v>
      </c>
      <c r="K68" s="9">
        <v>0.0</v>
      </c>
      <c r="L68" s="9" t="s">
        <v>47</v>
      </c>
      <c r="M68" s="11">
        <v>9.4</v>
      </c>
      <c r="N68" s="11">
        <v>10.7</v>
      </c>
      <c r="O68" s="9">
        <v>1.0</v>
      </c>
      <c r="P68" s="9" t="s">
        <v>48</v>
      </c>
      <c r="Q68" s="9">
        <v>1.0</v>
      </c>
      <c r="R68" s="9" t="s">
        <v>48</v>
      </c>
      <c r="S68" s="9">
        <v>1.0</v>
      </c>
      <c r="T68" s="9" t="s">
        <v>48</v>
      </c>
      <c r="U68" s="11">
        <v>35.0</v>
      </c>
    </row>
    <row r="69" ht="15.75" customHeight="1">
      <c r="A69" s="8">
        <v>68.0</v>
      </c>
      <c r="B69" s="9">
        <v>1.0</v>
      </c>
      <c r="C69" s="9" t="s">
        <v>44</v>
      </c>
      <c r="D69" s="23">
        <v>180.0</v>
      </c>
      <c r="E69" s="11">
        <v>82.0</v>
      </c>
      <c r="F69" s="9">
        <v>1.0</v>
      </c>
      <c r="G69" s="9" t="s">
        <v>45</v>
      </c>
      <c r="H69" s="11">
        <v>1.0</v>
      </c>
      <c r="I69" s="9">
        <v>0.0</v>
      </c>
      <c r="J69" s="9" t="s">
        <v>50</v>
      </c>
      <c r="K69" s="9">
        <v>0.0</v>
      </c>
      <c r="L69" s="9" t="s">
        <v>47</v>
      </c>
      <c r="M69" s="11">
        <v>7.1</v>
      </c>
      <c r="N69" s="11">
        <v>7.7</v>
      </c>
      <c r="O69" s="9">
        <v>1.0</v>
      </c>
      <c r="P69" s="9" t="s">
        <v>48</v>
      </c>
      <c r="Q69" s="9">
        <v>1.0</v>
      </c>
      <c r="R69" s="9" t="s">
        <v>48</v>
      </c>
      <c r="S69" s="9">
        <v>1.0</v>
      </c>
      <c r="T69" s="9" t="s">
        <v>48</v>
      </c>
      <c r="U69" s="11">
        <v>1.0</v>
      </c>
    </row>
    <row r="70" ht="15.75" customHeight="1">
      <c r="A70" s="8">
        <v>69.0</v>
      </c>
      <c r="B70" s="9">
        <v>1.0</v>
      </c>
      <c r="C70" s="9" t="s">
        <v>44</v>
      </c>
      <c r="D70" s="23">
        <v>189.0</v>
      </c>
      <c r="E70" s="11">
        <v>85.0</v>
      </c>
      <c r="F70" s="9">
        <v>2.0</v>
      </c>
      <c r="G70" s="9" t="s">
        <v>55</v>
      </c>
      <c r="H70" s="11">
        <v>3.0</v>
      </c>
      <c r="I70" s="9">
        <v>0.0</v>
      </c>
      <c r="J70" s="9" t="s">
        <v>50</v>
      </c>
      <c r="K70" s="9">
        <v>1.0</v>
      </c>
      <c r="L70" s="9" t="s">
        <v>51</v>
      </c>
      <c r="M70" s="11">
        <v>7.0</v>
      </c>
      <c r="N70" s="23"/>
      <c r="O70" s="9">
        <v>1.0</v>
      </c>
      <c r="P70" s="9" t="s">
        <v>48</v>
      </c>
      <c r="Q70" s="9">
        <v>1.0</v>
      </c>
      <c r="R70" s="9" t="s">
        <v>48</v>
      </c>
      <c r="S70" s="9">
        <v>1.0</v>
      </c>
      <c r="T70" s="9" t="s">
        <v>48</v>
      </c>
      <c r="U70" s="11">
        <v>15.0</v>
      </c>
    </row>
    <row r="71" ht="15.75" customHeight="1">
      <c r="A71" s="8">
        <v>70.0</v>
      </c>
      <c r="B71" s="9">
        <v>1.0</v>
      </c>
      <c r="C71" s="9" t="s">
        <v>44</v>
      </c>
      <c r="D71" s="23">
        <v>190.0</v>
      </c>
      <c r="E71" s="11">
        <v>75.0</v>
      </c>
      <c r="F71" s="9">
        <v>3.0</v>
      </c>
      <c r="G71" s="9" t="s">
        <v>49</v>
      </c>
      <c r="H71" s="11">
        <v>2.0</v>
      </c>
      <c r="I71" s="25"/>
      <c r="J71" s="25"/>
      <c r="K71" s="9">
        <v>0.0</v>
      </c>
      <c r="L71" s="9" t="s">
        <v>47</v>
      </c>
      <c r="M71" s="11">
        <v>7.0</v>
      </c>
      <c r="N71" s="11">
        <v>9.0</v>
      </c>
      <c r="O71" s="9">
        <v>1.0</v>
      </c>
      <c r="P71" s="9" t="s">
        <v>48</v>
      </c>
      <c r="Q71" s="9">
        <v>1.0</v>
      </c>
      <c r="R71" s="9" t="s">
        <v>48</v>
      </c>
      <c r="S71" s="9">
        <v>1.0</v>
      </c>
      <c r="T71" s="9" t="s">
        <v>48</v>
      </c>
      <c r="U71" s="11">
        <v>14.0</v>
      </c>
    </row>
    <row r="72" ht="15.75" customHeight="1">
      <c r="A72" s="8">
        <v>71.0</v>
      </c>
      <c r="B72" s="9">
        <v>0.0</v>
      </c>
      <c r="C72" s="9" t="s">
        <v>54</v>
      </c>
      <c r="D72" s="23">
        <v>168.0</v>
      </c>
      <c r="E72" s="11">
        <v>61.0</v>
      </c>
      <c r="F72" s="9">
        <v>1.0</v>
      </c>
      <c r="G72" s="9" t="s">
        <v>45</v>
      </c>
      <c r="H72" s="11">
        <v>3.0</v>
      </c>
      <c r="I72" s="9">
        <v>0.0</v>
      </c>
      <c r="J72" s="9" t="s">
        <v>50</v>
      </c>
      <c r="K72" s="9">
        <v>1.0</v>
      </c>
      <c r="L72" s="9" t="s">
        <v>51</v>
      </c>
      <c r="M72" s="11">
        <v>6.0</v>
      </c>
      <c r="N72" s="11">
        <v>6.0</v>
      </c>
      <c r="O72" s="9">
        <v>1.0</v>
      </c>
      <c r="P72" s="9" t="s">
        <v>48</v>
      </c>
      <c r="Q72" s="9">
        <v>1.0</v>
      </c>
      <c r="R72" s="9" t="s">
        <v>48</v>
      </c>
      <c r="S72" s="9">
        <v>1.0</v>
      </c>
      <c r="T72" s="9" t="s">
        <v>48</v>
      </c>
      <c r="U72" s="11">
        <v>0.0</v>
      </c>
    </row>
    <row r="73" ht="15.75" customHeight="1">
      <c r="A73" s="8">
        <v>72.0</v>
      </c>
      <c r="B73" s="9">
        <v>1.0</v>
      </c>
      <c r="C73" s="9" t="s">
        <v>44</v>
      </c>
      <c r="D73" s="23">
        <v>180.0</v>
      </c>
      <c r="E73" s="11">
        <v>85.0</v>
      </c>
      <c r="F73" s="9">
        <v>2.0</v>
      </c>
      <c r="G73" s="9" t="s">
        <v>55</v>
      </c>
      <c r="H73" s="11">
        <v>1.0</v>
      </c>
      <c r="I73" s="9">
        <v>0.0</v>
      </c>
      <c r="J73" s="9" t="s">
        <v>50</v>
      </c>
      <c r="K73" s="9">
        <v>1.0</v>
      </c>
      <c r="L73" s="9" t="s">
        <v>51</v>
      </c>
      <c r="M73" s="11">
        <v>6.5</v>
      </c>
      <c r="N73" s="11">
        <v>5.0</v>
      </c>
      <c r="O73" s="9">
        <v>1.0</v>
      </c>
      <c r="P73" s="9" t="s">
        <v>48</v>
      </c>
      <c r="Q73" s="9">
        <v>1.0</v>
      </c>
      <c r="R73" s="9" t="s">
        <v>48</v>
      </c>
      <c r="S73" s="9">
        <v>1.0</v>
      </c>
      <c r="T73" s="9" t="s">
        <v>48</v>
      </c>
      <c r="U73" s="11">
        <v>20.0</v>
      </c>
    </row>
    <row r="74" ht="15.75" customHeight="1">
      <c r="A74" s="8">
        <v>73.0</v>
      </c>
      <c r="B74" s="9">
        <v>1.0</v>
      </c>
      <c r="C74" s="9" t="s">
        <v>44</v>
      </c>
      <c r="D74" s="23">
        <v>182.0</v>
      </c>
      <c r="E74" s="11">
        <v>80.0</v>
      </c>
      <c r="F74" s="9">
        <v>3.0</v>
      </c>
      <c r="G74" s="9" t="s">
        <v>49</v>
      </c>
      <c r="H74" s="11">
        <v>1.0</v>
      </c>
      <c r="I74" s="9">
        <v>0.0</v>
      </c>
      <c r="J74" s="9" t="s">
        <v>50</v>
      </c>
      <c r="K74" s="9">
        <v>1.0</v>
      </c>
      <c r="L74" s="9" t="s">
        <v>51</v>
      </c>
      <c r="M74" s="11">
        <v>7.0</v>
      </c>
      <c r="N74" s="11">
        <v>7.0</v>
      </c>
      <c r="O74" s="9">
        <v>1.0</v>
      </c>
      <c r="P74" s="9" t="s">
        <v>48</v>
      </c>
      <c r="Q74" s="9">
        <v>1.0</v>
      </c>
      <c r="R74" s="9" t="s">
        <v>48</v>
      </c>
      <c r="S74" s="9">
        <v>1.0</v>
      </c>
      <c r="T74" s="9" t="s">
        <v>48</v>
      </c>
      <c r="U74" s="11">
        <v>70.0</v>
      </c>
    </row>
    <row r="75" ht="15.75" customHeight="1">
      <c r="A75" s="8">
        <v>74.0</v>
      </c>
      <c r="B75" s="9">
        <v>1.0</v>
      </c>
      <c r="C75" s="9" t="s">
        <v>44</v>
      </c>
      <c r="D75" s="23">
        <v>180.0</v>
      </c>
      <c r="E75" s="11">
        <v>85.0</v>
      </c>
      <c r="F75" s="9">
        <v>4.0</v>
      </c>
      <c r="G75" s="9" t="s">
        <v>56</v>
      </c>
      <c r="H75" s="11">
        <v>3.0</v>
      </c>
      <c r="I75" s="9">
        <v>0.0</v>
      </c>
      <c r="J75" s="9" t="s">
        <v>50</v>
      </c>
      <c r="K75" s="9">
        <v>0.0</v>
      </c>
      <c r="L75" s="9" t="s">
        <v>47</v>
      </c>
      <c r="M75" s="11">
        <v>7.8</v>
      </c>
      <c r="N75" s="23"/>
      <c r="O75" s="9">
        <v>1.0</v>
      </c>
      <c r="P75" s="9" t="s">
        <v>48</v>
      </c>
      <c r="Q75" s="9">
        <v>1.0</v>
      </c>
      <c r="R75" s="9" t="s">
        <v>48</v>
      </c>
      <c r="S75" s="9">
        <v>0.0</v>
      </c>
      <c r="T75" s="9" t="s">
        <v>53</v>
      </c>
      <c r="U75" s="11">
        <v>0.0</v>
      </c>
    </row>
    <row r="76" ht="15.75" customHeight="1">
      <c r="A76" s="8">
        <v>75.0</v>
      </c>
      <c r="B76" s="9">
        <v>1.0</v>
      </c>
      <c r="C76" s="9" t="s">
        <v>44</v>
      </c>
      <c r="D76" s="23">
        <v>175.0</v>
      </c>
      <c r="E76" s="11">
        <v>62.0</v>
      </c>
      <c r="F76" s="9">
        <v>3.0</v>
      </c>
      <c r="G76" s="9" t="s">
        <v>49</v>
      </c>
      <c r="H76" s="11">
        <v>2.0</v>
      </c>
      <c r="I76" s="9">
        <v>2.0</v>
      </c>
      <c r="J76" s="9" t="s">
        <v>52</v>
      </c>
      <c r="K76" s="9">
        <v>0.0</v>
      </c>
      <c r="L76" s="9" t="s">
        <v>47</v>
      </c>
      <c r="M76" s="11">
        <v>7.0</v>
      </c>
      <c r="N76" s="11">
        <v>9.1</v>
      </c>
      <c r="O76" s="9">
        <v>1.0</v>
      </c>
      <c r="P76" s="9" t="s">
        <v>48</v>
      </c>
      <c r="Q76" s="9">
        <v>1.0</v>
      </c>
      <c r="R76" s="9" t="s">
        <v>48</v>
      </c>
      <c r="S76" s="9">
        <v>1.0</v>
      </c>
      <c r="T76" s="9" t="s">
        <v>48</v>
      </c>
      <c r="U76" s="11">
        <v>60.0</v>
      </c>
    </row>
    <row r="77" ht="15.75" customHeight="1">
      <c r="A77" s="8">
        <v>76.0</v>
      </c>
      <c r="B77" s="9">
        <v>1.0</v>
      </c>
      <c r="C77" s="9" t="s">
        <v>44</v>
      </c>
      <c r="D77" s="23">
        <v>183.0</v>
      </c>
      <c r="E77" s="11">
        <v>80.0</v>
      </c>
      <c r="F77" s="9">
        <v>4.0</v>
      </c>
      <c r="G77" s="9" t="s">
        <v>56</v>
      </c>
      <c r="H77" s="11">
        <v>2.0</v>
      </c>
      <c r="I77" s="9">
        <v>0.0</v>
      </c>
      <c r="J77" s="9" t="s">
        <v>50</v>
      </c>
      <c r="K77" s="9">
        <v>0.0</v>
      </c>
      <c r="L77" s="9" t="s">
        <v>47</v>
      </c>
      <c r="M77" s="11">
        <v>6.0</v>
      </c>
      <c r="N77" s="11">
        <v>6.8</v>
      </c>
      <c r="O77" s="9">
        <v>1.0</v>
      </c>
      <c r="P77" s="9" t="s">
        <v>48</v>
      </c>
      <c r="Q77" s="9">
        <v>1.0</v>
      </c>
      <c r="R77" s="9" t="s">
        <v>48</v>
      </c>
      <c r="S77" s="9">
        <v>1.0</v>
      </c>
      <c r="T77" s="9" t="s">
        <v>48</v>
      </c>
      <c r="U77" s="11">
        <v>4.0</v>
      </c>
    </row>
    <row r="78" ht="15.75" customHeight="1">
      <c r="A78" s="8">
        <v>77.0</v>
      </c>
      <c r="B78" s="9">
        <v>1.0</v>
      </c>
      <c r="C78" s="9" t="s">
        <v>44</v>
      </c>
      <c r="D78" s="23">
        <v>180.0</v>
      </c>
      <c r="E78" s="11">
        <v>85.0</v>
      </c>
      <c r="F78" s="9">
        <v>2.0</v>
      </c>
      <c r="G78" s="9" t="s">
        <v>55</v>
      </c>
      <c r="H78" s="11">
        <v>3.0</v>
      </c>
      <c r="I78" s="9">
        <v>2.0</v>
      </c>
      <c r="J78" s="9" t="s">
        <v>52</v>
      </c>
      <c r="K78" s="9">
        <v>0.0</v>
      </c>
      <c r="L78" s="9" t="s">
        <v>47</v>
      </c>
      <c r="M78" s="11">
        <v>5.7</v>
      </c>
      <c r="N78" s="11">
        <v>6.4</v>
      </c>
      <c r="O78" s="9">
        <v>1.0</v>
      </c>
      <c r="P78" s="9" t="s">
        <v>48</v>
      </c>
      <c r="Q78" s="9">
        <v>1.0</v>
      </c>
      <c r="R78" s="9" t="s">
        <v>48</v>
      </c>
      <c r="S78" s="9">
        <v>1.0</v>
      </c>
      <c r="T78" s="9" t="s">
        <v>48</v>
      </c>
      <c r="U78" s="11">
        <v>10.0</v>
      </c>
    </row>
    <row r="79" ht="15.75" customHeight="1">
      <c r="A79" s="8">
        <v>78.0</v>
      </c>
      <c r="B79" s="9">
        <v>1.0</v>
      </c>
      <c r="C79" s="9" t="s">
        <v>44</v>
      </c>
      <c r="D79" s="11">
        <v>175.0</v>
      </c>
      <c r="E79" s="11">
        <v>75.0</v>
      </c>
      <c r="F79" s="9">
        <v>4.0</v>
      </c>
      <c r="G79" s="9" t="s">
        <v>56</v>
      </c>
      <c r="H79" s="11">
        <v>1.0</v>
      </c>
      <c r="I79" s="9">
        <v>2.0</v>
      </c>
      <c r="J79" s="9" t="s">
        <v>52</v>
      </c>
      <c r="K79" s="9">
        <v>0.0</v>
      </c>
      <c r="L79" s="9" t="s">
        <v>47</v>
      </c>
      <c r="M79" s="11">
        <v>7.3</v>
      </c>
      <c r="N79" s="11">
        <v>9.5</v>
      </c>
      <c r="O79" s="9">
        <v>1.0</v>
      </c>
      <c r="P79" s="9" t="s">
        <v>48</v>
      </c>
      <c r="Q79" s="9">
        <v>1.0</v>
      </c>
      <c r="R79" s="9" t="s">
        <v>48</v>
      </c>
      <c r="S79" s="9">
        <v>1.0</v>
      </c>
      <c r="T79" s="9" t="s">
        <v>48</v>
      </c>
      <c r="U79" s="11">
        <v>5.0</v>
      </c>
    </row>
    <row r="80" ht="15.75" customHeight="1">
      <c r="A80" s="8">
        <v>79.0</v>
      </c>
      <c r="B80" s="9">
        <v>1.0</v>
      </c>
      <c r="C80" s="9" t="s">
        <v>44</v>
      </c>
      <c r="D80" s="11">
        <v>180.0</v>
      </c>
      <c r="E80" s="11">
        <v>72.0</v>
      </c>
      <c r="F80" s="9">
        <v>3.0</v>
      </c>
      <c r="G80" s="9" t="s">
        <v>49</v>
      </c>
      <c r="H80" s="11">
        <v>2.0</v>
      </c>
      <c r="I80" s="9">
        <v>0.0</v>
      </c>
      <c r="J80" s="9" t="s">
        <v>50</v>
      </c>
      <c r="K80" s="9">
        <v>1.0</v>
      </c>
      <c r="L80" s="9" t="s">
        <v>51</v>
      </c>
      <c r="M80" s="11">
        <v>6.98</v>
      </c>
      <c r="N80" s="11">
        <v>9.3</v>
      </c>
      <c r="O80" s="9">
        <v>1.0</v>
      </c>
      <c r="P80" s="9" t="s">
        <v>48</v>
      </c>
      <c r="Q80" s="9">
        <v>1.0</v>
      </c>
      <c r="R80" s="9" t="s">
        <v>48</v>
      </c>
      <c r="S80" s="9">
        <v>1.0</v>
      </c>
      <c r="T80" s="9" t="s">
        <v>48</v>
      </c>
      <c r="U80" s="11">
        <v>2.0</v>
      </c>
    </row>
    <row r="81" ht="15.75" customHeight="1">
      <c r="A81" s="8">
        <v>80.0</v>
      </c>
      <c r="B81" s="9">
        <v>1.0</v>
      </c>
      <c r="C81" s="9" t="s">
        <v>44</v>
      </c>
      <c r="D81" s="11">
        <v>175.0</v>
      </c>
      <c r="E81" s="11">
        <v>68.0</v>
      </c>
      <c r="F81" s="9">
        <v>2.0</v>
      </c>
      <c r="G81" s="9" t="s">
        <v>55</v>
      </c>
      <c r="H81" s="11">
        <v>2.0</v>
      </c>
      <c r="I81" s="9">
        <v>0.0</v>
      </c>
      <c r="J81" s="9" t="s">
        <v>50</v>
      </c>
      <c r="K81" s="9">
        <v>1.0</v>
      </c>
      <c r="L81" s="9" t="s">
        <v>51</v>
      </c>
      <c r="M81" s="11">
        <v>6.5</v>
      </c>
      <c r="N81" s="11">
        <v>8.4</v>
      </c>
      <c r="O81" s="9">
        <v>1.0</v>
      </c>
      <c r="P81" s="9" t="s">
        <v>48</v>
      </c>
      <c r="Q81" s="9">
        <v>1.0</v>
      </c>
      <c r="R81" s="9" t="s">
        <v>48</v>
      </c>
      <c r="S81" s="9">
        <v>1.0</v>
      </c>
      <c r="T81" s="9" t="s">
        <v>48</v>
      </c>
      <c r="U81" s="11">
        <v>2.0</v>
      </c>
    </row>
    <row r="82" ht="15.75" customHeight="1">
      <c r="A82" s="8">
        <v>81.0</v>
      </c>
      <c r="B82" s="9">
        <v>1.0</v>
      </c>
      <c r="C82" s="9" t="s">
        <v>44</v>
      </c>
      <c r="D82" s="23">
        <v>180.0</v>
      </c>
      <c r="E82" s="11">
        <v>72.0</v>
      </c>
      <c r="F82" s="9">
        <v>2.0</v>
      </c>
      <c r="G82" s="9" t="s">
        <v>55</v>
      </c>
      <c r="H82" s="11">
        <v>3.0</v>
      </c>
      <c r="I82" s="9">
        <v>0.0</v>
      </c>
      <c r="J82" s="9" t="s">
        <v>50</v>
      </c>
      <c r="K82" s="9">
        <v>1.0</v>
      </c>
      <c r="L82" s="9" t="s">
        <v>51</v>
      </c>
      <c r="M82" s="11">
        <v>6.7</v>
      </c>
      <c r="N82" s="11">
        <v>6.3</v>
      </c>
      <c r="O82" s="9">
        <v>1.0</v>
      </c>
      <c r="P82" s="9" t="s">
        <v>48</v>
      </c>
      <c r="Q82" s="9">
        <v>1.0</v>
      </c>
      <c r="R82" s="9" t="s">
        <v>48</v>
      </c>
      <c r="S82" s="9">
        <v>1.0</v>
      </c>
      <c r="T82" s="9" t="s">
        <v>48</v>
      </c>
      <c r="U82" s="11">
        <v>1.0</v>
      </c>
    </row>
    <row r="83" ht="15.75" customHeight="1">
      <c r="A83" s="8">
        <v>82.0</v>
      </c>
      <c r="B83" s="9">
        <v>1.0</v>
      </c>
      <c r="C83" s="9" t="s">
        <v>44</v>
      </c>
      <c r="D83" s="23">
        <v>180.0</v>
      </c>
      <c r="E83" s="11">
        <v>70.0</v>
      </c>
      <c r="F83" s="9">
        <v>2.0</v>
      </c>
      <c r="G83" s="9" t="s">
        <v>55</v>
      </c>
      <c r="H83" s="11">
        <v>3.0</v>
      </c>
      <c r="I83" s="9">
        <v>0.0</v>
      </c>
      <c r="J83" s="9" t="s">
        <v>50</v>
      </c>
      <c r="K83" s="9">
        <v>1.0</v>
      </c>
      <c r="L83" s="9" t="s">
        <v>51</v>
      </c>
      <c r="M83" s="11">
        <v>6.7</v>
      </c>
      <c r="N83" s="11">
        <v>7.0</v>
      </c>
      <c r="O83" s="9">
        <v>1.0</v>
      </c>
      <c r="P83" s="9" t="s">
        <v>48</v>
      </c>
      <c r="Q83" s="9">
        <v>1.0</v>
      </c>
      <c r="R83" s="9" t="s">
        <v>48</v>
      </c>
      <c r="S83" s="9">
        <v>1.0</v>
      </c>
      <c r="T83" s="9" t="s">
        <v>48</v>
      </c>
      <c r="U83" s="11">
        <v>30.0</v>
      </c>
    </row>
    <row r="84" ht="15.75" customHeight="1">
      <c r="A84" s="8">
        <v>83.0</v>
      </c>
      <c r="B84" s="9">
        <v>0.0</v>
      </c>
      <c r="C84" s="9" t="s">
        <v>54</v>
      </c>
      <c r="D84" s="23">
        <v>162.0</v>
      </c>
      <c r="E84" s="11">
        <v>56.0</v>
      </c>
      <c r="F84" s="9">
        <v>2.0</v>
      </c>
      <c r="G84" s="9" t="s">
        <v>55</v>
      </c>
      <c r="H84" s="11">
        <v>3.0</v>
      </c>
      <c r="I84" s="9">
        <v>0.0</v>
      </c>
      <c r="J84" s="9" t="s">
        <v>50</v>
      </c>
      <c r="K84" s="9">
        <v>0.0</v>
      </c>
      <c r="L84" s="9" t="s">
        <v>47</v>
      </c>
      <c r="M84" s="11">
        <v>5.6</v>
      </c>
      <c r="N84" s="11">
        <v>6.7</v>
      </c>
      <c r="O84" s="9">
        <v>1.0</v>
      </c>
      <c r="P84" s="9" t="s">
        <v>48</v>
      </c>
      <c r="Q84" s="9">
        <v>1.0</v>
      </c>
      <c r="R84" s="9" t="s">
        <v>48</v>
      </c>
      <c r="S84" s="9">
        <v>1.0</v>
      </c>
      <c r="T84" s="9" t="s">
        <v>48</v>
      </c>
      <c r="U84" s="11">
        <v>7.0</v>
      </c>
    </row>
    <row r="85" ht="15.75" customHeight="1">
      <c r="A85" s="8">
        <v>84.0</v>
      </c>
      <c r="B85" s="9">
        <v>1.0</v>
      </c>
      <c r="C85" s="9" t="s">
        <v>44</v>
      </c>
      <c r="D85" s="23">
        <v>186.0</v>
      </c>
      <c r="E85" s="11">
        <v>90.0</v>
      </c>
      <c r="F85" s="9">
        <v>4.0</v>
      </c>
      <c r="G85" s="9" t="s">
        <v>56</v>
      </c>
      <c r="H85" s="11">
        <v>2.0</v>
      </c>
      <c r="I85" s="9">
        <v>1.0</v>
      </c>
      <c r="J85" s="9" t="s">
        <v>57</v>
      </c>
      <c r="K85" s="9">
        <v>1.0</v>
      </c>
      <c r="L85" s="9" t="s">
        <v>51</v>
      </c>
      <c r="M85" s="11">
        <v>7.6</v>
      </c>
      <c r="N85" s="11">
        <v>9.0</v>
      </c>
      <c r="O85" s="9">
        <v>1.0</v>
      </c>
      <c r="P85" s="9" t="s">
        <v>48</v>
      </c>
      <c r="Q85" s="9">
        <v>1.0</v>
      </c>
      <c r="R85" s="9" t="s">
        <v>48</v>
      </c>
      <c r="S85" s="9">
        <v>1.0</v>
      </c>
      <c r="T85" s="9" t="s">
        <v>48</v>
      </c>
      <c r="U85" s="11">
        <v>8.0</v>
      </c>
    </row>
    <row r="86" ht="15.75" customHeight="1">
      <c r="A86" s="8">
        <v>85.0</v>
      </c>
      <c r="B86" s="9">
        <v>0.0</v>
      </c>
      <c r="C86" s="9" t="s">
        <v>54</v>
      </c>
      <c r="D86" s="23">
        <v>168.0</v>
      </c>
      <c r="E86" s="11">
        <v>55.0</v>
      </c>
      <c r="F86" s="9">
        <v>0.0</v>
      </c>
      <c r="G86" s="9" t="s">
        <v>58</v>
      </c>
      <c r="H86" s="11">
        <v>1.0</v>
      </c>
      <c r="I86" s="9">
        <v>2.0</v>
      </c>
      <c r="J86" s="9" t="s">
        <v>52</v>
      </c>
      <c r="K86" s="9">
        <v>0.0</v>
      </c>
      <c r="L86" s="9" t="s">
        <v>47</v>
      </c>
      <c r="M86" s="11">
        <v>6.8</v>
      </c>
      <c r="N86" s="11">
        <v>8.2</v>
      </c>
      <c r="O86" s="9">
        <v>1.0</v>
      </c>
      <c r="P86" s="9" t="s">
        <v>48</v>
      </c>
      <c r="Q86" s="9">
        <v>0.0</v>
      </c>
      <c r="R86" s="9" t="s">
        <v>53</v>
      </c>
      <c r="S86" s="9">
        <v>1.0</v>
      </c>
      <c r="T86" s="9" t="s">
        <v>48</v>
      </c>
      <c r="U86" s="11">
        <v>5.0</v>
      </c>
    </row>
    <row r="87" ht="15.75" customHeight="1">
      <c r="A87" s="8">
        <v>86.0</v>
      </c>
      <c r="B87" s="9">
        <v>1.0</v>
      </c>
      <c r="C87" s="9" t="s">
        <v>44</v>
      </c>
      <c r="D87" s="23">
        <v>181.0</v>
      </c>
      <c r="E87" s="11">
        <v>75.0</v>
      </c>
      <c r="F87" s="9">
        <v>2.0</v>
      </c>
      <c r="G87" s="9" t="s">
        <v>55</v>
      </c>
      <c r="H87" s="11">
        <v>3.0</v>
      </c>
      <c r="I87" s="9">
        <v>0.0</v>
      </c>
      <c r="J87" s="9" t="s">
        <v>50</v>
      </c>
      <c r="K87" s="9">
        <v>1.0</v>
      </c>
      <c r="L87" s="9" t="s">
        <v>51</v>
      </c>
      <c r="M87" s="11">
        <v>6.8</v>
      </c>
      <c r="N87" s="11">
        <v>8.7</v>
      </c>
      <c r="O87" s="9">
        <v>1.0</v>
      </c>
      <c r="P87" s="9" t="s">
        <v>48</v>
      </c>
      <c r="Q87" s="9">
        <v>1.0</v>
      </c>
      <c r="R87" s="9" t="s">
        <v>48</v>
      </c>
      <c r="S87" s="9">
        <v>1.0</v>
      </c>
      <c r="T87" s="9" t="s">
        <v>48</v>
      </c>
      <c r="U87" s="11">
        <v>14.0</v>
      </c>
    </row>
    <row r="88" ht="15.75" customHeight="1">
      <c r="A88" s="8">
        <v>87.0</v>
      </c>
      <c r="B88" s="9">
        <v>1.0</v>
      </c>
      <c r="C88" s="9" t="s">
        <v>44</v>
      </c>
      <c r="D88" s="23">
        <v>158.0</v>
      </c>
      <c r="E88" s="11">
        <v>60.0</v>
      </c>
      <c r="F88" s="9">
        <v>1.0</v>
      </c>
      <c r="G88" s="9" t="s">
        <v>45</v>
      </c>
      <c r="H88" s="11">
        <v>1.0</v>
      </c>
      <c r="I88" s="9">
        <v>2.0</v>
      </c>
      <c r="J88" s="9" t="s">
        <v>52</v>
      </c>
      <c r="K88" s="9">
        <v>0.0</v>
      </c>
      <c r="L88" s="9" t="s">
        <v>47</v>
      </c>
      <c r="M88" s="11">
        <v>6.0</v>
      </c>
      <c r="N88" s="11">
        <v>7.0</v>
      </c>
      <c r="O88" s="9">
        <v>1.0</v>
      </c>
      <c r="P88" s="9" t="s">
        <v>48</v>
      </c>
      <c r="Q88" s="9">
        <v>1.0</v>
      </c>
      <c r="R88" s="9" t="s">
        <v>48</v>
      </c>
      <c r="S88" s="9">
        <v>1.0</v>
      </c>
      <c r="T88" s="9" t="s">
        <v>48</v>
      </c>
      <c r="U88" s="11">
        <v>5.0</v>
      </c>
    </row>
    <row r="89" ht="15.75" customHeight="1">
      <c r="A89" s="8">
        <v>88.0</v>
      </c>
      <c r="B89" s="9">
        <v>1.0</v>
      </c>
      <c r="C89" s="9" t="s">
        <v>44</v>
      </c>
      <c r="D89" s="23">
        <v>178.0</v>
      </c>
      <c r="E89" s="11">
        <v>70.0</v>
      </c>
      <c r="F89" s="9">
        <v>2.0</v>
      </c>
      <c r="G89" s="9" t="s">
        <v>55</v>
      </c>
      <c r="H89" s="11">
        <v>2.0</v>
      </c>
      <c r="I89" s="9">
        <v>0.0</v>
      </c>
      <c r="J89" s="9" t="s">
        <v>50</v>
      </c>
      <c r="K89" s="9">
        <v>0.0</v>
      </c>
      <c r="L89" s="9" t="s">
        <v>47</v>
      </c>
      <c r="M89" s="11">
        <v>5.7</v>
      </c>
      <c r="N89" s="11">
        <v>5.5</v>
      </c>
      <c r="O89" s="9">
        <v>0.0</v>
      </c>
      <c r="P89" s="9" t="s">
        <v>53</v>
      </c>
      <c r="Q89" s="9">
        <v>1.0</v>
      </c>
      <c r="R89" s="9" t="s">
        <v>48</v>
      </c>
      <c r="S89" s="9">
        <v>1.0</v>
      </c>
      <c r="T89" s="9" t="s">
        <v>48</v>
      </c>
      <c r="U89" s="11">
        <v>12.0</v>
      </c>
    </row>
    <row r="90" ht="15.75" customHeight="1">
      <c r="A90" s="8">
        <v>89.0</v>
      </c>
      <c r="B90" s="9">
        <v>1.0</v>
      </c>
      <c r="C90" s="9" t="s">
        <v>44</v>
      </c>
      <c r="D90" s="23">
        <v>175.0</v>
      </c>
      <c r="E90" s="11">
        <v>72.0</v>
      </c>
      <c r="F90" s="9">
        <v>3.0</v>
      </c>
      <c r="G90" s="9" t="s">
        <v>49</v>
      </c>
      <c r="H90" s="11">
        <v>2.0</v>
      </c>
      <c r="I90" s="9">
        <v>0.0</v>
      </c>
      <c r="J90" s="9" t="s">
        <v>50</v>
      </c>
      <c r="K90" s="9">
        <v>1.0</v>
      </c>
      <c r="L90" s="9" t="s">
        <v>51</v>
      </c>
      <c r="M90" s="11">
        <v>7.0</v>
      </c>
      <c r="N90" s="11">
        <v>7.03</v>
      </c>
      <c r="O90" s="9">
        <v>1.0</v>
      </c>
      <c r="P90" s="9" t="s">
        <v>48</v>
      </c>
      <c r="Q90" s="9">
        <v>1.0</v>
      </c>
      <c r="R90" s="9" t="s">
        <v>48</v>
      </c>
      <c r="S90" s="9">
        <v>1.0</v>
      </c>
      <c r="T90" s="9" t="s">
        <v>48</v>
      </c>
      <c r="U90" s="11">
        <v>2.0</v>
      </c>
    </row>
    <row r="91" ht="15.75" customHeight="1">
      <c r="A91" s="8">
        <v>90.0</v>
      </c>
      <c r="B91" s="9">
        <v>0.0</v>
      </c>
      <c r="C91" s="9" t="s">
        <v>54</v>
      </c>
      <c r="D91" s="23">
        <v>162.0</v>
      </c>
      <c r="E91" s="11">
        <v>44.0</v>
      </c>
      <c r="F91" s="9">
        <v>3.0</v>
      </c>
      <c r="G91" s="9" t="s">
        <v>49</v>
      </c>
      <c r="H91" s="11">
        <v>2.0</v>
      </c>
      <c r="I91" s="9">
        <v>1.0</v>
      </c>
      <c r="J91" s="9" t="s">
        <v>57</v>
      </c>
      <c r="K91" s="9">
        <v>0.0</v>
      </c>
      <c r="L91" s="9" t="s">
        <v>47</v>
      </c>
      <c r="M91" s="11">
        <v>6.7</v>
      </c>
      <c r="N91" s="11">
        <v>7.3</v>
      </c>
      <c r="O91" s="9">
        <v>1.0</v>
      </c>
      <c r="P91" s="9" t="s">
        <v>48</v>
      </c>
      <c r="Q91" s="9">
        <v>1.0</v>
      </c>
      <c r="R91" s="9" t="s">
        <v>48</v>
      </c>
      <c r="S91" s="9">
        <v>1.0</v>
      </c>
      <c r="T91" s="9" t="s">
        <v>48</v>
      </c>
      <c r="U91" s="11">
        <v>70.0</v>
      </c>
    </row>
    <row r="92" ht="15.75" customHeight="1">
      <c r="A92" s="8">
        <v>91.0</v>
      </c>
      <c r="B92" s="9">
        <v>0.0</v>
      </c>
      <c r="C92" s="9" t="s">
        <v>54</v>
      </c>
      <c r="D92" s="23">
        <v>158.0</v>
      </c>
      <c r="E92" s="11">
        <v>51.0</v>
      </c>
      <c r="F92" s="9">
        <v>1.0</v>
      </c>
      <c r="G92" s="9" t="s">
        <v>45</v>
      </c>
      <c r="H92" s="11">
        <v>3.0</v>
      </c>
      <c r="I92" s="9">
        <v>3.0</v>
      </c>
      <c r="J92" s="9" t="s">
        <v>46</v>
      </c>
      <c r="K92" s="9">
        <v>1.0</v>
      </c>
      <c r="L92" s="9" t="s">
        <v>51</v>
      </c>
      <c r="M92" s="11">
        <v>5.6</v>
      </c>
      <c r="N92" s="11">
        <v>6.73</v>
      </c>
      <c r="O92" s="9">
        <v>1.0</v>
      </c>
      <c r="P92" s="9" t="s">
        <v>48</v>
      </c>
      <c r="Q92" s="9">
        <v>1.0</v>
      </c>
      <c r="R92" s="9" t="s">
        <v>48</v>
      </c>
      <c r="S92" s="9">
        <v>1.0</v>
      </c>
      <c r="T92" s="9" t="s">
        <v>48</v>
      </c>
      <c r="U92" s="11">
        <v>20.0</v>
      </c>
    </row>
    <row r="93" ht="15.75" customHeight="1">
      <c r="A93" s="8">
        <v>92.0</v>
      </c>
      <c r="B93" s="25"/>
      <c r="C93" s="25"/>
      <c r="D93" s="23">
        <v>176.0</v>
      </c>
      <c r="E93" s="11">
        <v>60.0</v>
      </c>
      <c r="F93" s="9">
        <v>3.0</v>
      </c>
      <c r="G93" s="9" t="s">
        <v>49</v>
      </c>
      <c r="H93" s="11">
        <v>1.0</v>
      </c>
      <c r="I93" s="9">
        <v>0.0</v>
      </c>
      <c r="J93" s="9" t="s">
        <v>50</v>
      </c>
      <c r="K93" s="9">
        <v>1.0</v>
      </c>
      <c r="L93" s="9" t="s">
        <v>51</v>
      </c>
      <c r="M93" s="11">
        <v>6.5</v>
      </c>
      <c r="N93" s="11">
        <v>6.1</v>
      </c>
      <c r="O93" s="9">
        <v>1.0</v>
      </c>
      <c r="P93" s="9" t="s">
        <v>48</v>
      </c>
      <c r="Q93" s="9">
        <v>0.0</v>
      </c>
      <c r="R93" s="9" t="s">
        <v>53</v>
      </c>
      <c r="S93" s="9">
        <v>1.0</v>
      </c>
      <c r="T93" s="9" t="s">
        <v>48</v>
      </c>
      <c r="U93" s="11">
        <v>30.0</v>
      </c>
    </row>
    <row r="94" ht="15.75" customHeight="1">
      <c r="A94" s="8">
        <v>93.0</v>
      </c>
      <c r="B94" s="9">
        <v>0.0</v>
      </c>
      <c r="C94" s="9" t="s">
        <v>54</v>
      </c>
      <c r="D94" s="23">
        <v>172.0</v>
      </c>
      <c r="E94" s="11">
        <v>63.0</v>
      </c>
      <c r="F94" s="9">
        <v>1.0</v>
      </c>
      <c r="G94" s="9" t="s">
        <v>45</v>
      </c>
      <c r="H94" s="11">
        <v>2.0</v>
      </c>
      <c r="I94" s="9">
        <v>2.0</v>
      </c>
      <c r="J94" s="9" t="s">
        <v>52</v>
      </c>
      <c r="K94" s="9">
        <v>0.0</v>
      </c>
      <c r="L94" s="9" t="s">
        <v>47</v>
      </c>
      <c r="M94" s="11">
        <v>8.5</v>
      </c>
      <c r="N94" s="11">
        <v>8.4</v>
      </c>
      <c r="O94" s="9">
        <v>1.0</v>
      </c>
      <c r="P94" s="9" t="s">
        <v>48</v>
      </c>
      <c r="Q94" s="9">
        <v>1.0</v>
      </c>
      <c r="R94" s="9" t="s">
        <v>48</v>
      </c>
      <c r="S94" s="9">
        <v>1.0</v>
      </c>
      <c r="T94" s="9" t="s">
        <v>48</v>
      </c>
      <c r="U94" s="11">
        <v>5.0</v>
      </c>
    </row>
    <row r="95" ht="15.75" customHeight="1">
      <c r="A95" s="8">
        <v>94.0</v>
      </c>
      <c r="B95" s="9">
        <v>1.0</v>
      </c>
      <c r="C95" s="9" t="s">
        <v>44</v>
      </c>
      <c r="D95" s="23">
        <v>180.0</v>
      </c>
      <c r="E95" s="11">
        <v>63.0</v>
      </c>
      <c r="F95" s="9">
        <v>2.0</v>
      </c>
      <c r="G95" s="9" t="s">
        <v>55</v>
      </c>
      <c r="H95" s="11">
        <v>3.0</v>
      </c>
      <c r="I95" s="9">
        <v>0.0</v>
      </c>
      <c r="J95" s="9" t="s">
        <v>50</v>
      </c>
      <c r="K95" s="9">
        <v>1.0</v>
      </c>
      <c r="L95" s="9" t="s">
        <v>51</v>
      </c>
      <c r="M95" s="11">
        <v>6.9</v>
      </c>
      <c r="N95" s="23"/>
      <c r="O95" s="9">
        <v>1.0</v>
      </c>
      <c r="P95" s="9" t="s">
        <v>48</v>
      </c>
      <c r="Q95" s="9">
        <v>1.0</v>
      </c>
      <c r="R95" s="9" t="s">
        <v>48</v>
      </c>
      <c r="S95" s="9">
        <v>1.0</v>
      </c>
      <c r="T95" s="9" t="s">
        <v>48</v>
      </c>
      <c r="U95" s="11">
        <v>50.0</v>
      </c>
    </row>
    <row r="96" ht="15.75" customHeight="1">
      <c r="A96" s="8">
        <v>95.0</v>
      </c>
      <c r="B96" s="9">
        <v>0.0</v>
      </c>
      <c r="C96" s="9" t="s">
        <v>54</v>
      </c>
      <c r="D96" s="23">
        <v>171.0</v>
      </c>
      <c r="E96" s="11">
        <v>62.0</v>
      </c>
      <c r="F96" s="9">
        <v>1.0</v>
      </c>
      <c r="G96" s="9" t="s">
        <v>45</v>
      </c>
      <c r="H96" s="11">
        <v>2.0</v>
      </c>
      <c r="I96" s="9">
        <v>0.0</v>
      </c>
      <c r="J96" s="9" t="s">
        <v>50</v>
      </c>
      <c r="K96" s="9">
        <v>1.0</v>
      </c>
      <c r="L96" s="9" t="s">
        <v>51</v>
      </c>
      <c r="M96" s="11">
        <v>5.8</v>
      </c>
      <c r="N96" s="11">
        <v>5.8</v>
      </c>
      <c r="O96" s="9">
        <v>1.0</v>
      </c>
      <c r="P96" s="9" t="s">
        <v>48</v>
      </c>
      <c r="Q96" s="9">
        <v>1.0</v>
      </c>
      <c r="R96" s="9" t="s">
        <v>48</v>
      </c>
      <c r="S96" s="9">
        <v>1.0</v>
      </c>
      <c r="T96" s="9" t="s">
        <v>48</v>
      </c>
      <c r="U96" s="11">
        <v>4.0</v>
      </c>
    </row>
    <row r="97" ht="15.75" customHeight="1">
      <c r="A97" s="8">
        <v>96.0</v>
      </c>
      <c r="B97" s="9">
        <v>0.0</v>
      </c>
      <c r="C97" s="9" t="s">
        <v>54</v>
      </c>
      <c r="D97" s="23">
        <v>165.0</v>
      </c>
      <c r="E97" s="11">
        <v>54.0</v>
      </c>
      <c r="F97" s="9">
        <v>3.0</v>
      </c>
      <c r="G97" s="9" t="s">
        <v>49</v>
      </c>
      <c r="H97" s="11">
        <v>1.0</v>
      </c>
      <c r="I97" s="9">
        <v>0.0</v>
      </c>
      <c r="J97" s="9" t="s">
        <v>50</v>
      </c>
      <c r="K97" s="9">
        <v>1.0</v>
      </c>
      <c r="L97" s="9" t="s">
        <v>51</v>
      </c>
      <c r="M97" s="11">
        <v>5.6</v>
      </c>
      <c r="N97" s="11">
        <v>6.2</v>
      </c>
      <c r="O97" s="9">
        <v>1.0</v>
      </c>
      <c r="P97" s="9" t="s">
        <v>48</v>
      </c>
      <c r="Q97" s="9">
        <v>1.0</v>
      </c>
      <c r="R97" s="9" t="s">
        <v>48</v>
      </c>
      <c r="S97" s="9">
        <v>1.0</v>
      </c>
      <c r="T97" s="9" t="s">
        <v>48</v>
      </c>
      <c r="U97" s="11">
        <v>12.0</v>
      </c>
    </row>
    <row r="98" ht="15.75" customHeight="1">
      <c r="A98" s="8">
        <v>97.0</v>
      </c>
      <c r="B98" s="9">
        <v>1.0</v>
      </c>
      <c r="C98" s="9" t="s">
        <v>44</v>
      </c>
      <c r="D98" s="23">
        <v>182.0</v>
      </c>
      <c r="E98" s="11">
        <v>65.0</v>
      </c>
      <c r="F98" s="9">
        <v>2.0</v>
      </c>
      <c r="G98" s="9" t="s">
        <v>55</v>
      </c>
      <c r="H98" s="11">
        <v>2.0</v>
      </c>
      <c r="I98" s="9">
        <v>0.0</v>
      </c>
      <c r="J98" s="9" t="s">
        <v>50</v>
      </c>
      <c r="K98" s="9">
        <v>1.0</v>
      </c>
      <c r="L98" s="9" t="s">
        <v>51</v>
      </c>
      <c r="M98" s="11">
        <v>9.1</v>
      </c>
      <c r="N98" s="11">
        <v>10.1</v>
      </c>
      <c r="O98" s="9">
        <v>1.0</v>
      </c>
      <c r="P98" s="9" t="s">
        <v>48</v>
      </c>
      <c r="Q98" s="9">
        <v>1.0</v>
      </c>
      <c r="R98" s="9" t="s">
        <v>48</v>
      </c>
      <c r="S98" s="9">
        <v>1.0</v>
      </c>
      <c r="T98" s="9" t="s">
        <v>48</v>
      </c>
      <c r="U98" s="11">
        <v>5.0</v>
      </c>
    </row>
    <row r="99" ht="15.75" customHeight="1">
      <c r="A99" s="8">
        <v>98.0</v>
      </c>
      <c r="B99" s="9">
        <v>0.0</v>
      </c>
      <c r="C99" s="9" t="s">
        <v>54</v>
      </c>
      <c r="D99" s="23">
        <v>165.0</v>
      </c>
      <c r="E99" s="11">
        <v>65.0</v>
      </c>
      <c r="F99" s="9">
        <v>1.0</v>
      </c>
      <c r="G99" s="9" t="s">
        <v>45</v>
      </c>
      <c r="H99" s="11">
        <v>1.0</v>
      </c>
      <c r="I99" s="9">
        <v>1.0</v>
      </c>
      <c r="J99" s="9" t="s">
        <v>57</v>
      </c>
      <c r="K99" s="9">
        <v>1.0</v>
      </c>
      <c r="L99" s="9" t="s">
        <v>51</v>
      </c>
      <c r="M99" s="11">
        <v>7.8</v>
      </c>
      <c r="N99" s="11">
        <v>9.8</v>
      </c>
      <c r="O99" s="9">
        <v>1.0</v>
      </c>
      <c r="P99" s="9" t="s">
        <v>48</v>
      </c>
      <c r="Q99" s="9">
        <v>1.0</v>
      </c>
      <c r="R99" s="9" t="s">
        <v>48</v>
      </c>
      <c r="S99" s="9">
        <v>1.0</v>
      </c>
      <c r="T99" s="9" t="s">
        <v>48</v>
      </c>
      <c r="U99" s="11">
        <v>70.0</v>
      </c>
    </row>
    <row r="100" ht="15.75" customHeight="1">
      <c r="A100" s="8">
        <v>99.0</v>
      </c>
      <c r="B100" s="9">
        <v>0.0</v>
      </c>
      <c r="C100" s="9" t="s">
        <v>54</v>
      </c>
      <c r="D100" s="23">
        <v>165.0</v>
      </c>
      <c r="E100" s="11">
        <v>57.0</v>
      </c>
      <c r="F100" s="9">
        <v>1.0</v>
      </c>
      <c r="G100" s="9" t="s">
        <v>45</v>
      </c>
      <c r="H100" s="11">
        <v>2.0</v>
      </c>
      <c r="I100" s="9">
        <v>2.0</v>
      </c>
      <c r="J100" s="9" t="s">
        <v>52</v>
      </c>
      <c r="K100" s="9">
        <v>0.0</v>
      </c>
      <c r="L100" s="9" t="s">
        <v>47</v>
      </c>
      <c r="M100" s="11">
        <v>8.25</v>
      </c>
      <c r="N100" s="11">
        <v>11.017</v>
      </c>
      <c r="O100" s="9">
        <v>1.0</v>
      </c>
      <c r="P100" s="9" t="s">
        <v>48</v>
      </c>
      <c r="Q100" s="9">
        <v>1.0</v>
      </c>
      <c r="R100" s="9" t="s">
        <v>48</v>
      </c>
      <c r="S100" s="9">
        <v>1.0</v>
      </c>
      <c r="T100" s="9" t="s">
        <v>48</v>
      </c>
      <c r="U100" s="11">
        <v>35.0</v>
      </c>
    </row>
    <row r="101" ht="15.75" customHeight="1">
      <c r="A101" s="8">
        <v>100.0</v>
      </c>
      <c r="B101" s="9">
        <v>1.0</v>
      </c>
      <c r="C101" s="9" t="s">
        <v>44</v>
      </c>
      <c r="D101" s="11">
        <v>185.0</v>
      </c>
      <c r="E101" s="11">
        <v>57.0</v>
      </c>
      <c r="F101" s="9">
        <v>2.0</v>
      </c>
      <c r="G101" s="9" t="s">
        <v>55</v>
      </c>
      <c r="H101" s="11">
        <v>2.0</v>
      </c>
      <c r="I101" s="9">
        <v>0.0</v>
      </c>
      <c r="J101" s="9" t="s">
        <v>50</v>
      </c>
      <c r="K101" s="9">
        <v>0.0</v>
      </c>
      <c r="L101" s="9" t="s">
        <v>47</v>
      </c>
      <c r="M101" s="11">
        <v>8.0</v>
      </c>
      <c r="N101" s="11">
        <v>8.0</v>
      </c>
      <c r="O101" s="9">
        <v>1.0</v>
      </c>
      <c r="P101" s="9" t="s">
        <v>48</v>
      </c>
      <c r="Q101" s="9">
        <v>1.0</v>
      </c>
      <c r="R101" s="9" t="s">
        <v>48</v>
      </c>
      <c r="S101" s="9">
        <v>0.0</v>
      </c>
      <c r="T101" s="9" t="s">
        <v>53</v>
      </c>
      <c r="U101" s="11">
        <v>0.0</v>
      </c>
    </row>
    <row r="102" ht="15.75" customHeight="1">
      <c r="A102" s="8">
        <v>101.0</v>
      </c>
      <c r="B102" s="9">
        <v>0.0</v>
      </c>
      <c r="C102" s="9" t="s">
        <v>54</v>
      </c>
      <c r="D102" s="11">
        <v>165.0</v>
      </c>
      <c r="E102" s="11">
        <v>50.0</v>
      </c>
      <c r="F102" s="9">
        <v>2.0</v>
      </c>
      <c r="G102" s="9" t="s">
        <v>55</v>
      </c>
      <c r="H102" s="11">
        <v>2.0</v>
      </c>
      <c r="I102" s="9">
        <v>0.0</v>
      </c>
      <c r="J102" s="9" t="s">
        <v>50</v>
      </c>
      <c r="K102" s="9">
        <v>1.0</v>
      </c>
      <c r="L102" s="9" t="s">
        <v>51</v>
      </c>
      <c r="M102" s="11">
        <v>9.7</v>
      </c>
      <c r="N102" s="11">
        <v>12.8</v>
      </c>
      <c r="O102" s="9">
        <v>1.0</v>
      </c>
      <c r="P102" s="9" t="s">
        <v>48</v>
      </c>
      <c r="Q102" s="9">
        <v>1.0</v>
      </c>
      <c r="R102" s="9" t="s">
        <v>48</v>
      </c>
      <c r="S102" s="9">
        <v>1.0</v>
      </c>
      <c r="T102" s="9" t="s">
        <v>48</v>
      </c>
      <c r="U102" s="11">
        <v>12.0</v>
      </c>
    </row>
    <row r="103" ht="15.75" customHeight="1">
      <c r="A103" s="8">
        <v>102.0</v>
      </c>
      <c r="B103" s="9">
        <v>0.0</v>
      </c>
      <c r="C103" s="9" t="s">
        <v>54</v>
      </c>
      <c r="D103" s="11">
        <v>173.0</v>
      </c>
      <c r="E103" s="11">
        <v>67.0</v>
      </c>
      <c r="F103" s="9">
        <v>2.0</v>
      </c>
      <c r="G103" s="9" t="s">
        <v>55</v>
      </c>
      <c r="H103" s="11">
        <v>2.0</v>
      </c>
      <c r="I103" s="9">
        <v>3.0</v>
      </c>
      <c r="J103" s="9" t="s">
        <v>46</v>
      </c>
      <c r="K103" s="9">
        <v>0.0</v>
      </c>
      <c r="L103" s="9" t="s">
        <v>47</v>
      </c>
      <c r="M103" s="11">
        <v>7.2</v>
      </c>
      <c r="N103" s="11">
        <v>6.2</v>
      </c>
      <c r="O103" s="9">
        <v>1.0</v>
      </c>
      <c r="P103" s="9" t="s">
        <v>48</v>
      </c>
      <c r="Q103" s="9">
        <v>1.0</v>
      </c>
      <c r="R103" s="9" t="s">
        <v>48</v>
      </c>
      <c r="S103" s="9">
        <v>1.0</v>
      </c>
      <c r="T103" s="9" t="s">
        <v>48</v>
      </c>
      <c r="U103" s="11">
        <v>50.0</v>
      </c>
    </row>
    <row r="104" ht="15.75" customHeight="1">
      <c r="A104" s="8">
        <v>103.0</v>
      </c>
      <c r="B104" s="9">
        <v>1.0</v>
      </c>
      <c r="C104" s="9" t="s">
        <v>44</v>
      </c>
      <c r="D104" s="11">
        <v>170.0</v>
      </c>
      <c r="E104" s="11">
        <v>72.0</v>
      </c>
      <c r="F104" s="9">
        <v>3.0</v>
      </c>
      <c r="G104" s="9" t="s">
        <v>49</v>
      </c>
      <c r="H104" s="11">
        <v>3.0</v>
      </c>
      <c r="I104" s="9">
        <v>0.0</v>
      </c>
      <c r="J104" s="9" t="s">
        <v>50</v>
      </c>
      <c r="K104" s="9">
        <v>1.0</v>
      </c>
      <c r="L104" s="9" t="s">
        <v>51</v>
      </c>
      <c r="M104" s="11">
        <v>7.0</v>
      </c>
      <c r="N104" s="11">
        <v>10.0</v>
      </c>
      <c r="O104" s="9">
        <v>1.0</v>
      </c>
      <c r="P104" s="9" t="s">
        <v>48</v>
      </c>
      <c r="Q104" s="9">
        <v>1.0</v>
      </c>
      <c r="R104" s="9" t="s">
        <v>48</v>
      </c>
      <c r="S104" s="9">
        <v>0.0</v>
      </c>
      <c r="T104" s="9" t="s">
        <v>53</v>
      </c>
      <c r="U104" s="11">
        <v>0.0</v>
      </c>
    </row>
    <row r="105" ht="15.75" customHeight="1">
      <c r="A105" s="8">
        <v>104.0</v>
      </c>
      <c r="B105" s="9">
        <v>1.0</v>
      </c>
      <c r="C105" s="9" t="s">
        <v>44</v>
      </c>
      <c r="D105" s="11">
        <v>189.0</v>
      </c>
      <c r="E105" s="11">
        <v>79.0</v>
      </c>
      <c r="F105" s="9">
        <v>2.0</v>
      </c>
      <c r="G105" s="9" t="s">
        <v>55</v>
      </c>
      <c r="H105" s="11">
        <v>2.0</v>
      </c>
      <c r="I105" s="9">
        <v>0.0</v>
      </c>
      <c r="J105" s="9" t="s">
        <v>50</v>
      </c>
      <c r="K105" s="9">
        <v>1.0</v>
      </c>
      <c r="L105" s="9" t="s">
        <v>51</v>
      </c>
      <c r="M105" s="11">
        <v>6.2</v>
      </c>
      <c r="N105" s="11">
        <v>7.3</v>
      </c>
      <c r="O105" s="9">
        <v>1.0</v>
      </c>
      <c r="P105" s="9" t="s">
        <v>48</v>
      </c>
      <c r="Q105" s="9">
        <v>1.0</v>
      </c>
      <c r="R105" s="9" t="s">
        <v>48</v>
      </c>
      <c r="S105" s="9">
        <v>1.0</v>
      </c>
      <c r="T105" s="9" t="s">
        <v>48</v>
      </c>
      <c r="U105" s="11">
        <v>6.0</v>
      </c>
    </row>
    <row r="106" ht="15.75" customHeight="1">
      <c r="A106" s="8">
        <v>105.0</v>
      </c>
      <c r="B106" s="9">
        <v>1.0</v>
      </c>
      <c r="C106" s="9" t="s">
        <v>44</v>
      </c>
      <c r="D106" s="11">
        <v>170.0</v>
      </c>
      <c r="E106" s="11">
        <v>64.0</v>
      </c>
      <c r="F106" s="9">
        <v>3.0</v>
      </c>
      <c r="G106" s="9" t="s">
        <v>49</v>
      </c>
      <c r="H106" s="11">
        <v>3.0</v>
      </c>
      <c r="I106" s="9">
        <v>3.0</v>
      </c>
      <c r="J106" s="9" t="s">
        <v>46</v>
      </c>
      <c r="K106" s="9">
        <v>0.0</v>
      </c>
      <c r="L106" s="9" t="s">
        <v>47</v>
      </c>
      <c r="M106" s="11">
        <v>8.0</v>
      </c>
      <c r="N106" s="11">
        <v>8.0</v>
      </c>
      <c r="O106" s="9">
        <v>1.0</v>
      </c>
      <c r="P106" s="9" t="s">
        <v>48</v>
      </c>
      <c r="Q106" s="9">
        <v>1.0</v>
      </c>
      <c r="R106" s="9" t="s">
        <v>48</v>
      </c>
      <c r="S106" s="9">
        <v>1.0</v>
      </c>
      <c r="T106" s="9" t="s">
        <v>48</v>
      </c>
      <c r="U106" s="11">
        <v>5.0</v>
      </c>
    </row>
    <row r="107" ht="15.75" customHeight="1">
      <c r="A107" s="8">
        <v>106.0</v>
      </c>
      <c r="B107" s="9">
        <v>1.0</v>
      </c>
      <c r="C107" s="9" t="s">
        <v>44</v>
      </c>
      <c r="D107" s="11">
        <v>185.0</v>
      </c>
      <c r="E107" s="11">
        <v>95.0</v>
      </c>
      <c r="F107" s="9">
        <v>3.0</v>
      </c>
      <c r="G107" s="9" t="s">
        <v>49</v>
      </c>
      <c r="H107" s="11">
        <v>2.0</v>
      </c>
      <c r="I107" s="9">
        <v>3.0</v>
      </c>
      <c r="J107" s="9" t="s">
        <v>46</v>
      </c>
      <c r="K107" s="9">
        <v>0.0</v>
      </c>
      <c r="L107" s="9" t="s">
        <v>47</v>
      </c>
      <c r="M107" s="11">
        <v>6.0</v>
      </c>
      <c r="N107" s="11">
        <v>8.0</v>
      </c>
      <c r="O107" s="9">
        <v>1.0</v>
      </c>
      <c r="P107" s="9" t="s">
        <v>48</v>
      </c>
      <c r="Q107" s="9">
        <v>1.0</v>
      </c>
      <c r="R107" s="9" t="s">
        <v>48</v>
      </c>
      <c r="S107" s="9">
        <v>1.0</v>
      </c>
      <c r="T107" s="9" t="s">
        <v>48</v>
      </c>
      <c r="U107" s="11">
        <v>10.0</v>
      </c>
    </row>
    <row r="108" ht="15.75" customHeight="1">
      <c r="A108" s="8">
        <v>107.0</v>
      </c>
      <c r="B108" s="9">
        <v>0.0</v>
      </c>
      <c r="C108" s="9" t="s">
        <v>54</v>
      </c>
      <c r="D108" s="11">
        <v>165.0</v>
      </c>
      <c r="E108" s="11">
        <v>58.0</v>
      </c>
      <c r="F108" s="9">
        <v>1.0</v>
      </c>
      <c r="G108" s="9" t="s">
        <v>45</v>
      </c>
      <c r="H108" s="11">
        <v>2.0</v>
      </c>
      <c r="I108" s="9">
        <v>0.0</v>
      </c>
      <c r="J108" s="9" t="s">
        <v>50</v>
      </c>
      <c r="K108" s="9">
        <v>1.0</v>
      </c>
      <c r="L108" s="9" t="s">
        <v>51</v>
      </c>
      <c r="M108" s="11">
        <v>9.0</v>
      </c>
      <c r="N108" s="11">
        <v>11.141</v>
      </c>
      <c r="O108" s="9">
        <v>1.0</v>
      </c>
      <c r="P108" s="9" t="s">
        <v>48</v>
      </c>
      <c r="Q108" s="9">
        <v>1.0</v>
      </c>
      <c r="R108" s="9" t="s">
        <v>48</v>
      </c>
      <c r="S108" s="9">
        <v>1.0</v>
      </c>
      <c r="T108" s="9" t="s">
        <v>48</v>
      </c>
      <c r="U108" s="11">
        <v>70.0</v>
      </c>
    </row>
    <row r="109" ht="15.75" customHeight="1">
      <c r="A109" s="8">
        <v>108.0</v>
      </c>
      <c r="B109" s="9">
        <v>1.0</v>
      </c>
      <c r="C109" s="9" t="s">
        <v>44</v>
      </c>
      <c r="D109" s="11">
        <v>189.0</v>
      </c>
      <c r="E109" s="11">
        <v>83.0</v>
      </c>
      <c r="F109" s="9">
        <v>2.0</v>
      </c>
      <c r="G109" s="9" t="s">
        <v>55</v>
      </c>
      <c r="H109" s="11"/>
      <c r="I109" s="9">
        <v>3.0</v>
      </c>
      <c r="J109" s="9" t="s">
        <v>46</v>
      </c>
      <c r="K109" s="9">
        <v>0.0</v>
      </c>
      <c r="L109" s="9" t="s">
        <v>47</v>
      </c>
      <c r="M109" s="11">
        <v>8.1</v>
      </c>
      <c r="N109" s="11">
        <v>11.8</v>
      </c>
      <c r="O109" s="9">
        <v>1.0</v>
      </c>
      <c r="P109" s="9" t="s">
        <v>48</v>
      </c>
      <c r="Q109" s="9">
        <v>1.0</v>
      </c>
      <c r="R109" s="9" t="s">
        <v>48</v>
      </c>
      <c r="S109" s="9">
        <v>1.0</v>
      </c>
      <c r="T109" s="9" t="s">
        <v>48</v>
      </c>
      <c r="U109" s="11">
        <v>20.0</v>
      </c>
    </row>
    <row r="110" ht="15.75" customHeight="1">
      <c r="A110" s="8">
        <v>109.0</v>
      </c>
      <c r="B110" s="9">
        <v>1.0</v>
      </c>
      <c r="C110" s="9" t="s">
        <v>44</v>
      </c>
      <c r="D110" s="11">
        <v>180.0</v>
      </c>
      <c r="E110" s="11">
        <v>75.0</v>
      </c>
      <c r="F110" s="9">
        <v>3.0</v>
      </c>
      <c r="G110" s="9" t="s">
        <v>49</v>
      </c>
      <c r="H110" s="11">
        <v>2.0</v>
      </c>
      <c r="I110" s="9">
        <v>1.0</v>
      </c>
      <c r="J110" s="9" t="s">
        <v>57</v>
      </c>
      <c r="K110" s="9">
        <v>0.0</v>
      </c>
      <c r="L110" s="9" t="s">
        <v>47</v>
      </c>
      <c r="M110" s="11">
        <v>5.5</v>
      </c>
      <c r="N110" s="11">
        <v>6.9</v>
      </c>
      <c r="O110" s="9">
        <v>1.0</v>
      </c>
      <c r="P110" s="9" t="s">
        <v>48</v>
      </c>
      <c r="Q110" s="9">
        <v>1.0</v>
      </c>
      <c r="R110" s="9" t="s">
        <v>48</v>
      </c>
      <c r="S110" s="9">
        <v>1.0</v>
      </c>
      <c r="T110" s="9" t="s">
        <v>48</v>
      </c>
      <c r="U110" s="11">
        <v>8.0</v>
      </c>
    </row>
    <row r="111" ht="15.75" customHeight="1">
      <c r="A111" s="8">
        <v>110.0</v>
      </c>
      <c r="B111" s="9">
        <v>1.0</v>
      </c>
      <c r="C111" s="9" t="s">
        <v>44</v>
      </c>
      <c r="D111" s="11">
        <v>192.0</v>
      </c>
      <c r="E111" s="11">
        <v>83.0</v>
      </c>
      <c r="F111" s="9">
        <v>4.0</v>
      </c>
      <c r="G111" s="9" t="s">
        <v>56</v>
      </c>
      <c r="H111" s="11">
        <v>2.0</v>
      </c>
      <c r="I111" s="9">
        <v>0.0</v>
      </c>
      <c r="J111" s="9" t="s">
        <v>50</v>
      </c>
      <c r="K111" s="9">
        <v>1.0</v>
      </c>
      <c r="L111" s="9" t="s">
        <v>51</v>
      </c>
      <c r="M111" s="11">
        <v>6.0</v>
      </c>
      <c r="N111" s="11">
        <v>5.2</v>
      </c>
      <c r="O111" s="25"/>
      <c r="P111" s="25"/>
      <c r="Q111" s="9">
        <v>1.0</v>
      </c>
      <c r="R111" s="9" t="s">
        <v>48</v>
      </c>
      <c r="S111" s="9">
        <v>1.0</v>
      </c>
      <c r="T111" s="9" t="s">
        <v>48</v>
      </c>
      <c r="U111" s="11">
        <v>15.0</v>
      </c>
    </row>
    <row r="112" ht="15.75" customHeight="1">
      <c r="A112" s="8">
        <v>111.0</v>
      </c>
      <c r="B112" s="9">
        <v>1.0</v>
      </c>
      <c r="C112" s="9" t="s">
        <v>44</v>
      </c>
      <c r="D112" s="11">
        <v>193.0</v>
      </c>
      <c r="E112" s="11">
        <v>85.0</v>
      </c>
      <c r="F112" s="9">
        <v>2.0</v>
      </c>
      <c r="G112" s="9" t="s">
        <v>55</v>
      </c>
      <c r="H112" s="11">
        <v>3.0</v>
      </c>
      <c r="I112" s="9">
        <v>3.0</v>
      </c>
      <c r="J112" s="9" t="s">
        <v>46</v>
      </c>
      <c r="K112" s="25"/>
      <c r="L112" s="25"/>
      <c r="M112" s="11">
        <v>6.3</v>
      </c>
      <c r="N112" s="11">
        <v>9.2</v>
      </c>
      <c r="O112" s="9">
        <v>1.0</v>
      </c>
      <c r="P112" s="9" t="s">
        <v>48</v>
      </c>
      <c r="Q112" s="9">
        <v>1.0</v>
      </c>
      <c r="R112" s="9" t="s">
        <v>48</v>
      </c>
      <c r="S112" s="9">
        <v>1.0</v>
      </c>
      <c r="T112" s="9" t="s">
        <v>48</v>
      </c>
      <c r="U112" s="11">
        <v>10.0</v>
      </c>
    </row>
    <row r="113" ht="15.75" customHeight="1">
      <c r="A113" s="8">
        <v>112.0</v>
      </c>
      <c r="B113" s="9">
        <v>0.0</v>
      </c>
      <c r="C113" s="9" t="s">
        <v>54</v>
      </c>
      <c r="D113" s="11">
        <v>165.0</v>
      </c>
      <c r="E113" s="11">
        <v>56.0</v>
      </c>
      <c r="F113" s="9">
        <v>1.0</v>
      </c>
      <c r="G113" s="9" t="s">
        <v>45</v>
      </c>
      <c r="H113" s="11">
        <v>2.0</v>
      </c>
      <c r="I113" s="9">
        <v>2.0</v>
      </c>
      <c r="J113" s="9" t="s">
        <v>52</v>
      </c>
      <c r="K113" s="9">
        <v>0.0</v>
      </c>
      <c r="L113" s="9" t="s">
        <v>47</v>
      </c>
      <c r="M113" s="11">
        <v>8.1</v>
      </c>
      <c r="N113" s="11">
        <v>11.2</v>
      </c>
      <c r="O113" s="9">
        <v>1.0</v>
      </c>
      <c r="P113" s="9" t="s">
        <v>48</v>
      </c>
      <c r="Q113" s="9">
        <v>1.0</v>
      </c>
      <c r="R113" s="9" t="s">
        <v>48</v>
      </c>
      <c r="S113" s="9">
        <v>1.0</v>
      </c>
      <c r="T113" s="9" t="s">
        <v>48</v>
      </c>
      <c r="U113" s="11">
        <v>5.0</v>
      </c>
    </row>
    <row r="114" ht="15.75" customHeight="1">
      <c r="A114" s="8">
        <v>113.0</v>
      </c>
      <c r="B114" s="9">
        <v>1.0</v>
      </c>
      <c r="C114" s="9" t="s">
        <v>44</v>
      </c>
      <c r="D114" s="11">
        <v>170.0</v>
      </c>
      <c r="E114" s="11">
        <v>60.0</v>
      </c>
      <c r="F114" s="9">
        <v>2.0</v>
      </c>
      <c r="G114" s="9" t="s">
        <v>55</v>
      </c>
      <c r="H114" s="11">
        <v>2.0</v>
      </c>
      <c r="I114" s="9">
        <v>1.0</v>
      </c>
      <c r="J114" s="9" t="s">
        <v>57</v>
      </c>
      <c r="K114" s="9">
        <v>0.0</v>
      </c>
      <c r="L114" s="9" t="s">
        <v>47</v>
      </c>
      <c r="M114" s="11">
        <v>6.6</v>
      </c>
      <c r="N114" s="11">
        <v>10.017</v>
      </c>
      <c r="O114" s="9">
        <v>1.0</v>
      </c>
      <c r="P114" s="9" t="s">
        <v>48</v>
      </c>
      <c r="Q114" s="9">
        <v>1.0</v>
      </c>
      <c r="R114" s="9" t="s">
        <v>48</v>
      </c>
      <c r="S114" s="9">
        <v>1.0</v>
      </c>
      <c r="T114" s="9" t="s">
        <v>48</v>
      </c>
      <c r="U114" s="11">
        <v>5.0</v>
      </c>
    </row>
    <row r="115" ht="15.75" customHeight="1">
      <c r="A115" s="8">
        <v>114.0</v>
      </c>
      <c r="B115" s="9">
        <v>0.0</v>
      </c>
      <c r="C115" s="9" t="s">
        <v>54</v>
      </c>
      <c r="D115" s="11">
        <v>167.0</v>
      </c>
      <c r="E115" s="11">
        <v>59.0</v>
      </c>
      <c r="F115" s="9">
        <v>1.0</v>
      </c>
      <c r="G115" s="9" t="s">
        <v>45</v>
      </c>
      <c r="H115" s="11">
        <v>2.0</v>
      </c>
      <c r="I115" s="9">
        <v>3.0</v>
      </c>
      <c r="J115" s="9" t="s">
        <v>46</v>
      </c>
      <c r="K115" s="9">
        <v>0.0</v>
      </c>
      <c r="L115" s="9" t="s">
        <v>47</v>
      </c>
      <c r="M115" s="11">
        <v>5.9</v>
      </c>
      <c r="N115" s="11">
        <v>6.2</v>
      </c>
      <c r="O115" s="9">
        <v>1.0</v>
      </c>
      <c r="P115" s="9" t="s">
        <v>48</v>
      </c>
      <c r="Q115" s="9">
        <v>1.0</v>
      </c>
      <c r="R115" s="9" t="s">
        <v>48</v>
      </c>
      <c r="S115" s="9">
        <v>1.0</v>
      </c>
      <c r="T115" s="9" t="s">
        <v>48</v>
      </c>
      <c r="U115" s="11">
        <v>1.0</v>
      </c>
    </row>
    <row r="116" ht="15.75" customHeight="1">
      <c r="A116" s="8">
        <v>115.0</v>
      </c>
      <c r="B116" s="9">
        <v>1.0</v>
      </c>
      <c r="C116" s="9" t="s">
        <v>44</v>
      </c>
      <c r="D116" s="11">
        <v>170.0</v>
      </c>
      <c r="E116" s="11">
        <v>90.0</v>
      </c>
      <c r="F116" s="9">
        <v>1.0</v>
      </c>
      <c r="G116" s="9" t="s">
        <v>45</v>
      </c>
      <c r="H116" s="11">
        <v>2.0</v>
      </c>
      <c r="I116" s="9">
        <v>0.0</v>
      </c>
      <c r="J116" s="9" t="s">
        <v>50</v>
      </c>
      <c r="K116" s="9">
        <v>1.0</v>
      </c>
      <c r="L116" s="9" t="s">
        <v>51</v>
      </c>
      <c r="M116" s="11">
        <v>6.5</v>
      </c>
      <c r="N116" s="11">
        <v>6.5</v>
      </c>
      <c r="O116" s="9">
        <v>1.0</v>
      </c>
      <c r="P116" s="9" t="s">
        <v>48</v>
      </c>
      <c r="Q116" s="9">
        <v>1.0</v>
      </c>
      <c r="R116" s="9" t="s">
        <v>48</v>
      </c>
      <c r="S116" s="9">
        <v>1.0</v>
      </c>
      <c r="T116" s="9" t="s">
        <v>48</v>
      </c>
      <c r="U116" s="11">
        <v>1.0</v>
      </c>
    </row>
    <row r="117" ht="15.75" customHeight="1">
      <c r="A117" s="8">
        <v>116.0</v>
      </c>
      <c r="B117" s="9">
        <v>1.0</v>
      </c>
      <c r="C117" s="9" t="s">
        <v>44</v>
      </c>
      <c r="D117" s="11">
        <v>168.0</v>
      </c>
      <c r="E117" s="11">
        <v>58.0</v>
      </c>
      <c r="F117" s="9">
        <v>2.0</v>
      </c>
      <c r="G117" s="9" t="s">
        <v>55</v>
      </c>
      <c r="H117" s="11">
        <v>2.0</v>
      </c>
      <c r="I117" s="9">
        <v>0.0</v>
      </c>
      <c r="J117" s="9" t="s">
        <v>50</v>
      </c>
      <c r="K117" s="9">
        <v>1.0</v>
      </c>
      <c r="L117" s="9" t="s">
        <v>51</v>
      </c>
      <c r="M117" s="11">
        <v>6.0</v>
      </c>
      <c r="N117" s="11">
        <v>5.0</v>
      </c>
      <c r="O117" s="9">
        <v>1.0</v>
      </c>
      <c r="P117" s="9" t="s">
        <v>48</v>
      </c>
      <c r="Q117" s="9">
        <v>1.0</v>
      </c>
      <c r="R117" s="9" t="s">
        <v>48</v>
      </c>
      <c r="S117" s="9">
        <v>1.0</v>
      </c>
      <c r="T117" s="9" t="s">
        <v>48</v>
      </c>
      <c r="U117" s="11">
        <v>10.0</v>
      </c>
    </row>
    <row r="118" ht="15.75" customHeight="1">
      <c r="A118" s="8">
        <v>117.0</v>
      </c>
      <c r="B118" s="9">
        <v>0.0</v>
      </c>
      <c r="C118" s="9" t="s">
        <v>54</v>
      </c>
      <c r="D118" s="11">
        <v>169.0</v>
      </c>
      <c r="E118" s="11">
        <v>51.0</v>
      </c>
      <c r="F118" s="9">
        <v>1.0</v>
      </c>
      <c r="G118" s="9" t="s">
        <v>45</v>
      </c>
      <c r="H118" s="11"/>
      <c r="I118" s="9">
        <v>2.0</v>
      </c>
      <c r="J118" s="9" t="s">
        <v>52</v>
      </c>
      <c r="K118" s="9">
        <v>0.0</v>
      </c>
      <c r="L118" s="9" t="s">
        <v>47</v>
      </c>
      <c r="M118" s="11">
        <v>5.8</v>
      </c>
      <c r="N118" s="11">
        <v>5.2</v>
      </c>
      <c r="O118" s="9">
        <v>1.0</v>
      </c>
      <c r="P118" s="9" t="s">
        <v>48</v>
      </c>
      <c r="Q118" s="9">
        <v>1.0</v>
      </c>
      <c r="R118" s="9" t="s">
        <v>48</v>
      </c>
      <c r="S118" s="9">
        <v>1.0</v>
      </c>
      <c r="T118" s="9" t="s">
        <v>48</v>
      </c>
      <c r="U118" s="11">
        <v>10.0</v>
      </c>
    </row>
    <row r="119" ht="15.75" customHeight="1">
      <c r="A119" s="8">
        <v>118.0</v>
      </c>
      <c r="B119" s="9">
        <v>0.0</v>
      </c>
      <c r="C119" s="9" t="s">
        <v>54</v>
      </c>
      <c r="D119" s="11">
        <v>170.0</v>
      </c>
      <c r="E119" s="11">
        <v>70.0</v>
      </c>
      <c r="F119" s="9">
        <v>1.0</v>
      </c>
      <c r="G119" s="9" t="s">
        <v>45</v>
      </c>
      <c r="H119" s="11">
        <v>2.0</v>
      </c>
      <c r="I119" s="9">
        <v>0.0</v>
      </c>
      <c r="J119" s="9" t="s">
        <v>50</v>
      </c>
      <c r="K119" s="9">
        <v>0.0</v>
      </c>
      <c r="L119" s="9" t="s">
        <v>47</v>
      </c>
      <c r="M119" s="11">
        <v>7.5</v>
      </c>
      <c r="N119" s="11">
        <v>10.5</v>
      </c>
      <c r="O119" s="9">
        <v>1.0</v>
      </c>
      <c r="P119" s="9" t="s">
        <v>48</v>
      </c>
      <c r="Q119" s="9">
        <v>1.0</v>
      </c>
      <c r="R119" s="9" t="s">
        <v>48</v>
      </c>
      <c r="S119" s="9">
        <v>1.0</v>
      </c>
      <c r="T119" s="9" t="s">
        <v>48</v>
      </c>
      <c r="U119" s="11">
        <v>70.0</v>
      </c>
    </row>
    <row r="120" ht="15.75" customHeight="1">
      <c r="A120" s="8">
        <v>119.0</v>
      </c>
      <c r="B120" s="9">
        <v>1.0</v>
      </c>
      <c r="C120" s="9" t="s">
        <v>44</v>
      </c>
      <c r="D120" s="11">
        <v>176.0</v>
      </c>
      <c r="E120" s="11">
        <v>75.0</v>
      </c>
      <c r="F120" s="9">
        <v>3.0</v>
      </c>
      <c r="G120" s="9" t="s">
        <v>49</v>
      </c>
      <c r="H120" s="11"/>
      <c r="I120" s="9">
        <v>0.0</v>
      </c>
      <c r="J120" s="9" t="s">
        <v>50</v>
      </c>
      <c r="K120" s="9">
        <v>0.0</v>
      </c>
      <c r="L120" s="9" t="s">
        <v>47</v>
      </c>
      <c r="M120" s="11">
        <v>5.2</v>
      </c>
      <c r="N120" s="11">
        <v>6.3</v>
      </c>
      <c r="O120" s="9">
        <v>1.0</v>
      </c>
      <c r="P120" s="9" t="s">
        <v>48</v>
      </c>
      <c r="Q120" s="9">
        <v>1.0</v>
      </c>
      <c r="R120" s="9" t="s">
        <v>48</v>
      </c>
      <c r="S120" s="9">
        <v>1.0</v>
      </c>
      <c r="T120" s="9" t="s">
        <v>48</v>
      </c>
      <c r="U120" s="11">
        <v>12.0</v>
      </c>
    </row>
    <row r="121" ht="15.75" customHeight="1">
      <c r="A121" s="8">
        <v>120.0</v>
      </c>
      <c r="B121" s="9">
        <v>1.0</v>
      </c>
      <c r="C121" s="9" t="s">
        <v>44</v>
      </c>
      <c r="D121" s="11">
        <v>173.0</v>
      </c>
      <c r="E121" s="11">
        <v>67.0</v>
      </c>
      <c r="F121" s="9">
        <v>2.0</v>
      </c>
      <c r="G121" s="9" t="s">
        <v>55</v>
      </c>
      <c r="H121" s="11">
        <v>2.0</v>
      </c>
      <c r="I121" s="9">
        <v>0.0</v>
      </c>
      <c r="J121" s="9" t="s">
        <v>50</v>
      </c>
      <c r="K121" s="9">
        <v>1.0</v>
      </c>
      <c r="L121" s="9" t="s">
        <v>51</v>
      </c>
      <c r="M121" s="11">
        <v>5.9</v>
      </c>
      <c r="N121" s="11">
        <v>7.4</v>
      </c>
      <c r="O121" s="9">
        <v>0.0</v>
      </c>
      <c r="P121" s="9" t="s">
        <v>53</v>
      </c>
      <c r="Q121" s="9">
        <v>1.0</v>
      </c>
      <c r="R121" s="9" t="s">
        <v>48</v>
      </c>
      <c r="S121" s="9">
        <v>1.0</v>
      </c>
      <c r="T121" s="9" t="s">
        <v>48</v>
      </c>
      <c r="U121" s="11">
        <v>10.0</v>
      </c>
    </row>
    <row r="122" ht="15.75" customHeight="1">
      <c r="A122" s="8">
        <v>121.0</v>
      </c>
      <c r="B122" s="9">
        <v>1.0</v>
      </c>
      <c r="C122" s="9" t="s">
        <v>44</v>
      </c>
      <c r="D122" s="11">
        <v>163.0</v>
      </c>
      <c r="E122" s="11">
        <v>45.0</v>
      </c>
      <c r="F122" s="9">
        <v>2.0</v>
      </c>
      <c r="G122" s="9" t="s">
        <v>55</v>
      </c>
      <c r="H122" s="11">
        <v>5.0</v>
      </c>
      <c r="I122" s="9">
        <v>2.0</v>
      </c>
      <c r="J122" s="9" t="s">
        <v>52</v>
      </c>
      <c r="K122" s="9">
        <v>0.0</v>
      </c>
      <c r="L122" s="9" t="s">
        <v>47</v>
      </c>
      <c r="M122" s="11">
        <v>6.5</v>
      </c>
      <c r="N122" s="11">
        <v>9.0</v>
      </c>
      <c r="O122" s="9">
        <v>1.0</v>
      </c>
      <c r="P122" s="9" t="s">
        <v>48</v>
      </c>
      <c r="Q122" s="9">
        <v>1.0</v>
      </c>
      <c r="R122" s="9" t="s">
        <v>48</v>
      </c>
      <c r="S122" s="9">
        <v>1.0</v>
      </c>
      <c r="T122" s="9" t="s">
        <v>48</v>
      </c>
      <c r="U122" s="11">
        <v>7.0</v>
      </c>
    </row>
    <row r="123" ht="15.75" customHeight="1">
      <c r="A123" s="8">
        <v>122.0</v>
      </c>
      <c r="B123" s="9">
        <v>0.0</v>
      </c>
      <c r="C123" s="9" t="s">
        <v>54</v>
      </c>
      <c r="D123" s="11">
        <v>162.0</v>
      </c>
      <c r="E123" s="11">
        <v>47.0</v>
      </c>
      <c r="F123" s="9">
        <v>1.0</v>
      </c>
      <c r="G123" s="9" t="s">
        <v>45</v>
      </c>
      <c r="H123" s="11">
        <v>1.0</v>
      </c>
      <c r="I123" s="9">
        <v>0.0</v>
      </c>
      <c r="J123" s="9" t="s">
        <v>50</v>
      </c>
      <c r="K123" s="9">
        <v>1.0</v>
      </c>
      <c r="L123" s="9" t="s">
        <v>51</v>
      </c>
      <c r="M123" s="11">
        <v>6.0</v>
      </c>
      <c r="N123" s="11">
        <v>7.0</v>
      </c>
      <c r="O123" s="9">
        <v>1.0</v>
      </c>
      <c r="P123" s="9" t="s">
        <v>48</v>
      </c>
      <c r="Q123" s="9">
        <v>1.0</v>
      </c>
      <c r="R123" s="9" t="s">
        <v>48</v>
      </c>
      <c r="S123" s="9">
        <v>1.0</v>
      </c>
      <c r="T123" s="9" t="s">
        <v>48</v>
      </c>
      <c r="U123" s="11">
        <v>5.0</v>
      </c>
    </row>
    <row r="124" ht="15.75" customHeight="1">
      <c r="A124" s="8">
        <v>123.0</v>
      </c>
      <c r="B124" s="9">
        <v>0.0</v>
      </c>
      <c r="C124" s="9" t="s">
        <v>54</v>
      </c>
      <c r="D124" s="11">
        <v>150.0</v>
      </c>
      <c r="E124" s="11">
        <v>50.0</v>
      </c>
      <c r="F124" s="9">
        <v>1.0</v>
      </c>
      <c r="G124" s="9" t="s">
        <v>45</v>
      </c>
      <c r="H124" s="11">
        <v>3.0</v>
      </c>
      <c r="I124" s="9">
        <v>2.0</v>
      </c>
      <c r="J124" s="9" t="s">
        <v>52</v>
      </c>
      <c r="K124" s="9">
        <v>1.0</v>
      </c>
      <c r="L124" s="9" t="s">
        <v>51</v>
      </c>
      <c r="M124" s="11">
        <v>7.0</v>
      </c>
      <c r="N124" s="11">
        <v>8.0</v>
      </c>
      <c r="O124" s="9">
        <v>1.0</v>
      </c>
      <c r="P124" s="9" t="s">
        <v>48</v>
      </c>
      <c r="Q124" s="9">
        <v>1.0</v>
      </c>
      <c r="R124" s="9" t="s">
        <v>48</v>
      </c>
      <c r="S124" s="9">
        <v>1.0</v>
      </c>
      <c r="T124" s="9" t="s">
        <v>48</v>
      </c>
      <c r="U124" s="11">
        <v>0.0</v>
      </c>
    </row>
    <row r="125" ht="15.75" customHeight="1">
      <c r="A125" s="8">
        <v>124.0</v>
      </c>
      <c r="B125" s="25"/>
      <c r="C125" s="25"/>
      <c r="D125" s="11">
        <v>175.0</v>
      </c>
      <c r="E125" s="11">
        <v>72.0</v>
      </c>
      <c r="F125" s="9">
        <v>3.0</v>
      </c>
      <c r="G125" s="9" t="s">
        <v>49</v>
      </c>
      <c r="H125" s="11">
        <v>2.0</v>
      </c>
      <c r="I125" s="9">
        <v>3.0</v>
      </c>
      <c r="J125" s="9" t="s">
        <v>46</v>
      </c>
      <c r="K125" s="9">
        <v>0.0</v>
      </c>
      <c r="L125" s="9" t="s">
        <v>47</v>
      </c>
      <c r="M125" s="11">
        <v>8.0</v>
      </c>
      <c r="N125" s="11">
        <v>9.0</v>
      </c>
      <c r="O125" s="9">
        <v>1.0</v>
      </c>
      <c r="P125" s="9" t="s">
        <v>48</v>
      </c>
      <c r="Q125" s="9">
        <v>1.0</v>
      </c>
      <c r="R125" s="9" t="s">
        <v>48</v>
      </c>
      <c r="S125" s="9">
        <v>1.0</v>
      </c>
      <c r="T125" s="9" t="s">
        <v>48</v>
      </c>
      <c r="U125" s="11">
        <v>5.0</v>
      </c>
    </row>
    <row r="126" ht="15.75" customHeight="1">
      <c r="A126" s="8">
        <v>125.0</v>
      </c>
      <c r="B126" s="9">
        <v>1.0</v>
      </c>
      <c r="C126" s="9" t="s">
        <v>44</v>
      </c>
      <c r="D126" s="11">
        <v>183.0</v>
      </c>
      <c r="E126" s="11">
        <v>65.0</v>
      </c>
      <c r="F126" s="9">
        <v>2.0</v>
      </c>
      <c r="G126" s="9" t="s">
        <v>55</v>
      </c>
      <c r="H126" s="11">
        <v>1.0</v>
      </c>
      <c r="I126" s="9">
        <v>3.0</v>
      </c>
      <c r="J126" s="9" t="s">
        <v>46</v>
      </c>
      <c r="K126" s="9">
        <v>0.0</v>
      </c>
      <c r="L126" s="9" t="s">
        <v>47</v>
      </c>
      <c r="M126" s="11">
        <v>6.0</v>
      </c>
      <c r="N126" s="11">
        <v>4.0</v>
      </c>
      <c r="O126" s="9">
        <v>1.0</v>
      </c>
      <c r="P126" s="9" t="s">
        <v>48</v>
      </c>
      <c r="Q126" s="9">
        <v>0.0</v>
      </c>
      <c r="R126" s="9" t="s">
        <v>53</v>
      </c>
      <c r="S126" s="9">
        <v>1.0</v>
      </c>
      <c r="T126" s="9" t="s">
        <v>48</v>
      </c>
      <c r="U126" s="11">
        <v>10.0</v>
      </c>
    </row>
    <row r="127" ht="15.75" customHeight="1">
      <c r="A127" s="8">
        <v>126.0</v>
      </c>
      <c r="B127" s="9">
        <v>1.0</v>
      </c>
      <c r="C127" s="9" t="s">
        <v>44</v>
      </c>
      <c r="D127" s="11">
        <v>167.0</v>
      </c>
      <c r="E127" s="11">
        <v>65.0</v>
      </c>
      <c r="F127" s="9">
        <v>2.0</v>
      </c>
      <c r="G127" s="9" t="s">
        <v>55</v>
      </c>
      <c r="H127" s="11">
        <v>2.0</v>
      </c>
      <c r="I127" s="9">
        <v>2.0</v>
      </c>
      <c r="J127" s="9" t="s">
        <v>52</v>
      </c>
      <c r="K127" s="9">
        <v>0.0</v>
      </c>
      <c r="L127" s="9" t="s">
        <v>47</v>
      </c>
      <c r="M127" s="11">
        <v>6.0</v>
      </c>
      <c r="N127" s="11">
        <v>7.0</v>
      </c>
      <c r="O127" s="9">
        <v>1.0</v>
      </c>
      <c r="P127" s="9" t="s">
        <v>48</v>
      </c>
      <c r="Q127" s="9">
        <v>1.0</v>
      </c>
      <c r="R127" s="9" t="s">
        <v>48</v>
      </c>
      <c r="S127" s="9">
        <v>1.0</v>
      </c>
      <c r="T127" s="9" t="s">
        <v>48</v>
      </c>
      <c r="U127" s="11">
        <v>10.0</v>
      </c>
    </row>
    <row r="128" ht="15.75" customHeight="1">
      <c r="A128" s="8">
        <v>127.0</v>
      </c>
      <c r="B128" s="9">
        <v>0.0</v>
      </c>
      <c r="C128" s="9" t="s">
        <v>54</v>
      </c>
      <c r="D128" s="11">
        <v>170.0</v>
      </c>
      <c r="E128" s="11">
        <v>58.0</v>
      </c>
      <c r="F128" s="9">
        <v>0.0</v>
      </c>
      <c r="G128" s="9" t="s">
        <v>58</v>
      </c>
      <c r="H128" s="11">
        <v>2.0</v>
      </c>
      <c r="I128" s="9">
        <v>3.0</v>
      </c>
      <c r="J128" s="9" t="s">
        <v>46</v>
      </c>
      <c r="K128" s="9">
        <v>0.0</v>
      </c>
      <c r="L128" s="9" t="s">
        <v>47</v>
      </c>
      <c r="M128" s="11">
        <v>6.12</v>
      </c>
      <c r="N128" s="11">
        <v>9.3</v>
      </c>
      <c r="O128" s="9">
        <v>1.0</v>
      </c>
      <c r="P128" s="9" t="s">
        <v>48</v>
      </c>
      <c r="Q128" s="9">
        <v>1.0</v>
      </c>
      <c r="R128" s="9" t="s">
        <v>48</v>
      </c>
      <c r="S128" s="9">
        <v>1.0</v>
      </c>
      <c r="T128" s="9" t="s">
        <v>48</v>
      </c>
      <c r="U128" s="11">
        <v>14.0</v>
      </c>
    </row>
    <row r="129" ht="15.75" customHeight="1">
      <c r="A129" s="8">
        <v>128.0</v>
      </c>
      <c r="B129" s="9">
        <v>1.0</v>
      </c>
      <c r="C129" s="9" t="s">
        <v>44</v>
      </c>
      <c r="D129" s="11">
        <v>181.0</v>
      </c>
      <c r="E129" s="11">
        <v>78.0</v>
      </c>
      <c r="F129" s="9">
        <v>3.0</v>
      </c>
      <c r="G129" s="9" t="s">
        <v>49</v>
      </c>
      <c r="H129" s="11">
        <v>2.0</v>
      </c>
      <c r="I129" s="9">
        <v>2.0</v>
      </c>
      <c r="J129" s="9" t="s">
        <v>52</v>
      </c>
      <c r="K129" s="9">
        <v>0.0</v>
      </c>
      <c r="L129" s="9" t="s">
        <v>47</v>
      </c>
      <c r="M129" s="11">
        <v>7.0</v>
      </c>
      <c r="N129" s="11">
        <v>5.0</v>
      </c>
      <c r="O129" s="9">
        <v>1.0</v>
      </c>
      <c r="P129" s="9" t="s">
        <v>48</v>
      </c>
      <c r="Q129" s="9">
        <v>0.0</v>
      </c>
      <c r="R129" s="9" t="s">
        <v>53</v>
      </c>
      <c r="S129" s="9">
        <v>1.0</v>
      </c>
      <c r="T129" s="9" t="s">
        <v>48</v>
      </c>
      <c r="U129" s="11">
        <v>4.0</v>
      </c>
    </row>
    <row r="130" ht="15.75" customHeight="1">
      <c r="A130" s="8">
        <v>129.0</v>
      </c>
      <c r="B130" s="9">
        <v>0.0</v>
      </c>
      <c r="C130" s="9" t="s">
        <v>54</v>
      </c>
      <c r="D130" s="11">
        <v>169.0</v>
      </c>
      <c r="E130" s="11">
        <v>57.0</v>
      </c>
      <c r="F130" s="9">
        <v>0.0</v>
      </c>
      <c r="G130" s="9" t="s">
        <v>58</v>
      </c>
      <c r="H130" s="11">
        <v>1.0</v>
      </c>
      <c r="I130" s="9">
        <v>3.0</v>
      </c>
      <c r="J130" s="9" t="s">
        <v>46</v>
      </c>
      <c r="K130" s="9">
        <v>0.0</v>
      </c>
      <c r="L130" s="9" t="s">
        <v>47</v>
      </c>
      <c r="M130" s="11">
        <v>5.7</v>
      </c>
      <c r="N130" s="11">
        <v>7.5</v>
      </c>
      <c r="O130" s="9">
        <v>1.0</v>
      </c>
      <c r="P130" s="9" t="s">
        <v>48</v>
      </c>
      <c r="Q130" s="9">
        <v>1.0</v>
      </c>
      <c r="R130" s="9" t="s">
        <v>48</v>
      </c>
      <c r="S130" s="9">
        <v>1.0</v>
      </c>
      <c r="T130" s="9" t="s">
        <v>48</v>
      </c>
      <c r="U130" s="11">
        <v>70.0</v>
      </c>
    </row>
    <row r="131" ht="15.75" customHeight="1">
      <c r="A131" s="8">
        <v>130.0</v>
      </c>
      <c r="B131" s="9">
        <v>0.0</v>
      </c>
      <c r="C131" s="9" t="s">
        <v>54</v>
      </c>
      <c r="D131" s="11">
        <v>172.0</v>
      </c>
      <c r="E131" s="11">
        <v>52.0</v>
      </c>
      <c r="F131" s="9">
        <v>0.0</v>
      </c>
      <c r="G131" s="9" t="s">
        <v>58</v>
      </c>
      <c r="H131" s="11">
        <v>6.0</v>
      </c>
      <c r="I131" s="9">
        <v>3.0</v>
      </c>
      <c r="J131" s="9" t="s">
        <v>46</v>
      </c>
      <c r="K131" s="9">
        <v>0.0</v>
      </c>
      <c r="L131" s="9" t="s">
        <v>47</v>
      </c>
      <c r="M131" s="11">
        <v>6.0</v>
      </c>
      <c r="N131" s="11">
        <v>5.2</v>
      </c>
      <c r="O131" s="9">
        <v>1.0</v>
      </c>
      <c r="P131" s="9" t="s">
        <v>48</v>
      </c>
      <c r="Q131" s="9">
        <v>1.0</v>
      </c>
      <c r="R131" s="9" t="s">
        <v>48</v>
      </c>
      <c r="S131" s="9">
        <v>1.0</v>
      </c>
      <c r="T131" s="9" t="s">
        <v>48</v>
      </c>
      <c r="U131" s="11">
        <v>70.0</v>
      </c>
    </row>
    <row r="132" ht="15.75" customHeight="1">
      <c r="A132" s="8">
        <v>131.0</v>
      </c>
      <c r="B132" s="9">
        <v>0.0</v>
      </c>
      <c r="C132" s="9" t="s">
        <v>54</v>
      </c>
      <c r="D132" s="11">
        <v>160.0</v>
      </c>
      <c r="E132" s="11">
        <v>48.0</v>
      </c>
      <c r="F132" s="9">
        <v>2.0</v>
      </c>
      <c r="G132" s="9" t="s">
        <v>55</v>
      </c>
      <c r="H132" s="11">
        <v>3.0</v>
      </c>
      <c r="I132" s="9">
        <v>0.0</v>
      </c>
      <c r="J132" s="9" t="s">
        <v>50</v>
      </c>
      <c r="K132" s="9">
        <v>1.0</v>
      </c>
      <c r="L132" s="9" t="s">
        <v>51</v>
      </c>
      <c r="M132" s="11">
        <v>7.5</v>
      </c>
      <c r="N132" s="11">
        <v>8.2</v>
      </c>
      <c r="O132" s="9">
        <v>1.0</v>
      </c>
      <c r="P132" s="9" t="s">
        <v>48</v>
      </c>
      <c r="Q132" s="25"/>
      <c r="R132" s="25"/>
      <c r="S132" s="9">
        <v>1.0</v>
      </c>
      <c r="T132" s="9" t="s">
        <v>48</v>
      </c>
      <c r="U132" s="11">
        <v>10.0</v>
      </c>
    </row>
    <row r="133" ht="15.75" customHeight="1">
      <c r="A133" s="8">
        <v>132.0</v>
      </c>
      <c r="B133" s="9">
        <v>0.0</v>
      </c>
      <c r="C133" s="9" t="s">
        <v>54</v>
      </c>
      <c r="D133" s="11">
        <v>173.0</v>
      </c>
      <c r="E133" s="11">
        <v>62.0</v>
      </c>
      <c r="F133" s="9">
        <v>0.0</v>
      </c>
      <c r="G133" s="9" t="s">
        <v>58</v>
      </c>
      <c r="H133" s="11">
        <v>2.0</v>
      </c>
      <c r="I133" s="9">
        <v>0.0</v>
      </c>
      <c r="J133" s="9" t="s">
        <v>50</v>
      </c>
      <c r="K133" s="9">
        <v>1.0</v>
      </c>
      <c r="L133" s="9" t="s">
        <v>51</v>
      </c>
      <c r="M133" s="11">
        <v>7.6</v>
      </c>
      <c r="N133" s="11">
        <v>10.47</v>
      </c>
      <c r="O133" s="9">
        <v>1.0</v>
      </c>
      <c r="P133" s="9" t="s">
        <v>48</v>
      </c>
      <c r="Q133" s="9">
        <v>1.0</v>
      </c>
      <c r="R133" s="9" t="s">
        <v>48</v>
      </c>
      <c r="S133" s="9">
        <v>1.0</v>
      </c>
      <c r="T133" s="9" t="s">
        <v>48</v>
      </c>
      <c r="U133" s="11">
        <v>68.0</v>
      </c>
    </row>
    <row r="134" ht="15.75" customHeight="1">
      <c r="A134" s="8">
        <v>133.0</v>
      </c>
      <c r="B134" s="9">
        <v>1.0</v>
      </c>
      <c r="C134" s="9" t="s">
        <v>44</v>
      </c>
      <c r="D134" s="11">
        <v>182.0</v>
      </c>
      <c r="E134" s="11">
        <v>64.0</v>
      </c>
      <c r="F134" s="9">
        <v>2.0</v>
      </c>
      <c r="G134" s="9" t="s">
        <v>55</v>
      </c>
      <c r="H134" s="11">
        <v>1.0</v>
      </c>
      <c r="I134" s="9">
        <v>0.0</v>
      </c>
      <c r="J134" s="9" t="s">
        <v>50</v>
      </c>
      <c r="K134" s="9">
        <v>0.0</v>
      </c>
      <c r="L134" s="9" t="s">
        <v>47</v>
      </c>
      <c r="M134" s="11">
        <v>6.5</v>
      </c>
      <c r="N134" s="11">
        <v>8.01</v>
      </c>
      <c r="O134" s="9">
        <v>1.0</v>
      </c>
      <c r="P134" s="9" t="s">
        <v>48</v>
      </c>
      <c r="Q134" s="9">
        <v>1.0</v>
      </c>
      <c r="R134" s="9" t="s">
        <v>48</v>
      </c>
      <c r="S134" s="9">
        <v>0.0</v>
      </c>
      <c r="T134" s="9" t="s">
        <v>53</v>
      </c>
      <c r="U134" s="11">
        <v>0.0</v>
      </c>
    </row>
    <row r="135" ht="15.75" customHeight="1">
      <c r="A135" s="8">
        <v>134.0</v>
      </c>
      <c r="B135" s="9">
        <v>0.0</v>
      </c>
      <c r="C135" s="9" t="s">
        <v>54</v>
      </c>
      <c r="D135" s="11">
        <v>168.0</v>
      </c>
      <c r="E135" s="11">
        <v>58.0</v>
      </c>
      <c r="F135" s="9">
        <v>1.0</v>
      </c>
      <c r="G135" s="9" t="s">
        <v>45</v>
      </c>
      <c r="H135" s="11">
        <v>3.0</v>
      </c>
      <c r="I135" s="9">
        <v>1.0</v>
      </c>
      <c r="J135" s="9" t="s">
        <v>57</v>
      </c>
      <c r="K135" s="9">
        <v>0.0</v>
      </c>
      <c r="L135" s="9" t="s">
        <v>47</v>
      </c>
      <c r="M135" s="11">
        <v>5.3</v>
      </c>
      <c r="N135" s="11">
        <v>6.2</v>
      </c>
      <c r="O135" s="9">
        <v>1.0</v>
      </c>
      <c r="P135" s="9" t="s">
        <v>48</v>
      </c>
      <c r="Q135" s="9">
        <v>1.0</v>
      </c>
      <c r="R135" s="9" t="s">
        <v>48</v>
      </c>
      <c r="S135" s="9">
        <v>1.0</v>
      </c>
      <c r="T135" s="9" t="s">
        <v>48</v>
      </c>
      <c r="U135" s="11">
        <v>5.0</v>
      </c>
    </row>
    <row r="136" ht="15.75" customHeight="1">
      <c r="A136" s="8">
        <v>135.0</v>
      </c>
      <c r="B136" s="9">
        <v>0.0</v>
      </c>
      <c r="C136" s="9" t="s">
        <v>54</v>
      </c>
      <c r="D136" s="11">
        <v>163.0</v>
      </c>
      <c r="E136" s="11">
        <v>62.0</v>
      </c>
      <c r="F136" s="9">
        <v>1.0</v>
      </c>
      <c r="G136" s="9" t="s">
        <v>45</v>
      </c>
      <c r="H136" s="11">
        <v>2.0</v>
      </c>
      <c r="I136" s="9">
        <v>1.0</v>
      </c>
      <c r="J136" s="9" t="s">
        <v>57</v>
      </c>
      <c r="K136" s="9">
        <v>0.0</v>
      </c>
      <c r="L136" s="9" t="s">
        <v>47</v>
      </c>
      <c r="M136" s="11">
        <v>8.0</v>
      </c>
      <c r="N136" s="11">
        <v>10.5</v>
      </c>
      <c r="O136" s="9">
        <v>1.0</v>
      </c>
      <c r="P136" s="9" t="s">
        <v>48</v>
      </c>
      <c r="Q136" s="9">
        <v>1.0</v>
      </c>
      <c r="R136" s="9" t="s">
        <v>48</v>
      </c>
      <c r="S136" s="9">
        <v>1.0</v>
      </c>
      <c r="T136" s="9" t="s">
        <v>48</v>
      </c>
      <c r="U136" s="11">
        <v>65.0</v>
      </c>
    </row>
    <row r="137" ht="15.75" customHeight="1">
      <c r="A137" s="8">
        <v>136.0</v>
      </c>
      <c r="B137" s="9">
        <v>0.0</v>
      </c>
      <c r="C137" s="9" t="s">
        <v>54</v>
      </c>
      <c r="D137" s="23">
        <v>160.0</v>
      </c>
      <c r="E137" s="11">
        <v>53.0</v>
      </c>
      <c r="F137" s="9">
        <v>1.0</v>
      </c>
      <c r="G137" s="9" t="s">
        <v>45</v>
      </c>
      <c r="H137" s="11">
        <v>2.0</v>
      </c>
      <c r="I137" s="9">
        <v>1.0</v>
      </c>
      <c r="J137" s="9" t="s">
        <v>57</v>
      </c>
      <c r="K137" s="9">
        <v>1.0</v>
      </c>
      <c r="L137" s="9" t="s">
        <v>51</v>
      </c>
      <c r="M137" s="11">
        <v>5.3</v>
      </c>
      <c r="N137" s="11">
        <v>5.7</v>
      </c>
      <c r="O137" s="9">
        <v>1.0</v>
      </c>
      <c r="P137" s="9" t="s">
        <v>48</v>
      </c>
      <c r="Q137" s="9">
        <v>1.0</v>
      </c>
      <c r="R137" s="9" t="s">
        <v>48</v>
      </c>
      <c r="S137" s="9">
        <v>1.0</v>
      </c>
      <c r="T137" s="9" t="s">
        <v>48</v>
      </c>
      <c r="U137" s="11">
        <v>50.0</v>
      </c>
    </row>
    <row r="138" ht="15.75" customHeight="1">
      <c r="A138" s="8">
        <v>137.0</v>
      </c>
      <c r="B138" s="9">
        <v>1.0</v>
      </c>
      <c r="C138" s="9" t="s">
        <v>44</v>
      </c>
      <c r="D138" s="11">
        <v>180.0</v>
      </c>
      <c r="E138" s="11">
        <v>75.0</v>
      </c>
      <c r="F138" s="9">
        <v>3.0</v>
      </c>
      <c r="G138" s="9" t="s">
        <v>49</v>
      </c>
      <c r="H138" s="11"/>
      <c r="I138" s="9">
        <v>0.0</v>
      </c>
      <c r="J138" s="9" t="s">
        <v>50</v>
      </c>
      <c r="K138" s="9">
        <v>0.0</v>
      </c>
      <c r="L138" s="9" t="s">
        <v>47</v>
      </c>
      <c r="M138" s="11">
        <v>7.0</v>
      </c>
      <c r="N138" s="11">
        <v>7.9</v>
      </c>
      <c r="O138" s="9">
        <v>1.0</v>
      </c>
      <c r="P138" s="9" t="s">
        <v>48</v>
      </c>
      <c r="Q138" s="9">
        <v>1.0</v>
      </c>
      <c r="R138" s="9" t="s">
        <v>48</v>
      </c>
      <c r="S138" s="9">
        <v>1.0</v>
      </c>
      <c r="T138" s="9" t="s">
        <v>48</v>
      </c>
      <c r="U138" s="11">
        <v>12.0</v>
      </c>
    </row>
    <row r="139" ht="15.75" customHeight="1">
      <c r="A139" s="8">
        <v>138.0</v>
      </c>
      <c r="B139" s="9">
        <v>1.0</v>
      </c>
      <c r="C139" s="9" t="s">
        <v>44</v>
      </c>
      <c r="D139" s="11">
        <v>177.0</v>
      </c>
      <c r="E139" s="11">
        <v>80.0</v>
      </c>
      <c r="F139" s="9">
        <v>2.0</v>
      </c>
      <c r="G139" s="9" t="s">
        <v>55</v>
      </c>
      <c r="H139" s="11"/>
      <c r="I139" s="9">
        <v>0.0</v>
      </c>
      <c r="J139" s="9" t="s">
        <v>50</v>
      </c>
      <c r="K139" s="9">
        <v>0.0</v>
      </c>
      <c r="L139" s="9" t="s">
        <v>47</v>
      </c>
      <c r="M139" s="11">
        <v>6.3</v>
      </c>
      <c r="N139" s="11">
        <v>5.85</v>
      </c>
      <c r="O139" s="9">
        <v>1.0</v>
      </c>
      <c r="P139" s="9" t="s">
        <v>48</v>
      </c>
      <c r="Q139" s="9">
        <v>1.0</v>
      </c>
      <c r="R139" s="9" t="s">
        <v>48</v>
      </c>
      <c r="S139" s="9">
        <v>1.0</v>
      </c>
      <c r="T139" s="9" t="s">
        <v>48</v>
      </c>
      <c r="U139" s="11">
        <v>13.0</v>
      </c>
    </row>
    <row r="140" ht="15.75" customHeight="1">
      <c r="A140" s="8">
        <v>139.0</v>
      </c>
      <c r="B140" s="9">
        <v>1.0</v>
      </c>
      <c r="C140" s="9" t="s">
        <v>44</v>
      </c>
      <c r="D140" s="11">
        <v>174.0</v>
      </c>
      <c r="E140" s="11">
        <v>80.0</v>
      </c>
      <c r="F140" s="9">
        <v>2.0</v>
      </c>
      <c r="G140" s="9" t="s">
        <v>55</v>
      </c>
      <c r="H140" s="11">
        <v>3.0</v>
      </c>
      <c r="I140" s="9">
        <v>0.0</v>
      </c>
      <c r="J140" s="9" t="s">
        <v>50</v>
      </c>
      <c r="K140" s="9">
        <v>0.0</v>
      </c>
      <c r="L140" s="9" t="s">
        <v>47</v>
      </c>
      <c r="M140" s="11">
        <v>6.0</v>
      </c>
      <c r="N140" s="11">
        <v>6.0</v>
      </c>
      <c r="O140" s="9">
        <v>1.0</v>
      </c>
      <c r="P140" s="9" t="s">
        <v>48</v>
      </c>
      <c r="Q140" s="9">
        <v>1.0</v>
      </c>
      <c r="R140" s="9" t="s">
        <v>48</v>
      </c>
      <c r="S140" s="9">
        <v>1.0</v>
      </c>
      <c r="T140" s="9" t="s">
        <v>48</v>
      </c>
      <c r="U140" s="11">
        <v>2.0</v>
      </c>
    </row>
    <row r="141" ht="15.75" customHeight="1">
      <c r="A141" s="8">
        <v>140.0</v>
      </c>
      <c r="B141" s="9">
        <v>0.0</v>
      </c>
      <c r="C141" s="9" t="s">
        <v>54</v>
      </c>
      <c r="D141" s="11">
        <v>160.0</v>
      </c>
      <c r="E141" s="11">
        <v>50.0</v>
      </c>
      <c r="F141" s="9">
        <v>1.0</v>
      </c>
      <c r="G141" s="9" t="s">
        <v>45</v>
      </c>
      <c r="H141" s="11">
        <v>2.0</v>
      </c>
      <c r="I141" s="9">
        <v>3.0</v>
      </c>
      <c r="J141" s="9" t="s">
        <v>46</v>
      </c>
      <c r="K141" s="9">
        <v>0.0</v>
      </c>
      <c r="L141" s="9" t="s">
        <v>47</v>
      </c>
      <c r="M141" s="11">
        <v>5.41</v>
      </c>
      <c r="N141" s="11">
        <v>5.2</v>
      </c>
      <c r="O141" s="9">
        <v>1.0</v>
      </c>
      <c r="P141" s="9" t="s">
        <v>48</v>
      </c>
      <c r="Q141" s="9">
        <v>1.0</v>
      </c>
      <c r="R141" s="9" t="s">
        <v>48</v>
      </c>
      <c r="S141" s="9">
        <v>1.0</v>
      </c>
      <c r="T141" s="9" t="s">
        <v>48</v>
      </c>
      <c r="U141" s="11">
        <v>6.0</v>
      </c>
    </row>
    <row r="142" ht="15.75" customHeight="1">
      <c r="A142" s="8">
        <v>141.0</v>
      </c>
      <c r="B142" s="9">
        <v>0.0</v>
      </c>
      <c r="C142" s="9" t="s">
        <v>54</v>
      </c>
      <c r="D142" s="11">
        <v>160.0</v>
      </c>
      <c r="E142" s="11">
        <v>52.0</v>
      </c>
      <c r="F142" s="9">
        <v>1.0</v>
      </c>
      <c r="G142" s="9" t="s">
        <v>45</v>
      </c>
      <c r="H142" s="11">
        <v>1.0</v>
      </c>
      <c r="I142" s="9">
        <v>0.0</v>
      </c>
      <c r="J142" s="9" t="s">
        <v>50</v>
      </c>
      <c r="K142" s="9">
        <v>0.0</v>
      </c>
      <c r="L142" s="9" t="s">
        <v>47</v>
      </c>
      <c r="M142" s="11">
        <v>5.6</v>
      </c>
      <c r="N142" s="11">
        <v>6.0</v>
      </c>
      <c r="O142" s="9">
        <v>1.0</v>
      </c>
      <c r="P142" s="9" t="s">
        <v>48</v>
      </c>
      <c r="Q142" s="9">
        <v>1.0</v>
      </c>
      <c r="R142" s="9" t="s">
        <v>48</v>
      </c>
      <c r="S142" s="9">
        <v>1.0</v>
      </c>
      <c r="T142" s="9" t="s">
        <v>48</v>
      </c>
      <c r="U142" s="11">
        <v>6.0</v>
      </c>
    </row>
    <row r="143" ht="15.75" customHeight="1">
      <c r="A143" s="8">
        <v>142.0</v>
      </c>
      <c r="B143" s="9">
        <v>1.0</v>
      </c>
      <c r="C143" s="9" t="s">
        <v>44</v>
      </c>
      <c r="D143" s="11">
        <v>190.0</v>
      </c>
      <c r="E143" s="11">
        <v>85.0</v>
      </c>
      <c r="F143" s="9">
        <v>1.0</v>
      </c>
      <c r="G143" s="9" t="s">
        <v>45</v>
      </c>
      <c r="H143" s="11">
        <v>2.0</v>
      </c>
      <c r="I143" s="9">
        <v>3.0</v>
      </c>
      <c r="J143" s="9" t="s">
        <v>46</v>
      </c>
      <c r="K143" s="9">
        <v>0.0</v>
      </c>
      <c r="L143" s="9" t="s">
        <v>47</v>
      </c>
      <c r="M143" s="11">
        <v>6.0</v>
      </c>
      <c r="N143" s="11">
        <v>8.0</v>
      </c>
      <c r="O143" s="9">
        <v>1.0</v>
      </c>
      <c r="P143" s="9" t="s">
        <v>48</v>
      </c>
      <c r="Q143" s="9">
        <v>1.0</v>
      </c>
      <c r="R143" s="9" t="s">
        <v>48</v>
      </c>
      <c r="S143" s="9">
        <v>1.0</v>
      </c>
      <c r="T143" s="9" t="s">
        <v>48</v>
      </c>
      <c r="U143" s="11">
        <v>2.0</v>
      </c>
    </row>
    <row r="144" ht="15.75" customHeight="1">
      <c r="A144" s="15" t="s">
        <v>64</v>
      </c>
      <c r="B144" s="16">
        <v>0.0</v>
      </c>
      <c r="C144" s="16">
        <v>0.0</v>
      </c>
      <c r="D144" s="17">
        <v>3.0</v>
      </c>
      <c r="E144" s="18">
        <v>5.0</v>
      </c>
      <c r="F144" s="18"/>
      <c r="G144" s="18">
        <v>0.0</v>
      </c>
      <c r="H144" s="18">
        <f>'Datos '!F144</f>
        <v>15</v>
      </c>
      <c r="I144" s="18"/>
      <c r="J144" s="18">
        <v>0.0</v>
      </c>
      <c r="K144" s="18"/>
      <c r="L144" s="18">
        <v>0.0</v>
      </c>
      <c r="M144" s="18">
        <v>6.0</v>
      </c>
      <c r="N144" s="18">
        <v>11.0</v>
      </c>
      <c r="O144" s="18"/>
      <c r="P144" s="18">
        <v>0.0</v>
      </c>
      <c r="Q144" s="18"/>
      <c r="R144" s="18">
        <v>0.0</v>
      </c>
      <c r="S144" s="18"/>
      <c r="T144" s="18">
        <v>0.0</v>
      </c>
      <c r="U144" s="18">
        <v>6.0</v>
      </c>
    </row>
    <row r="145" ht="15.75" customHeight="1">
      <c r="A145" s="22" t="s">
        <v>61</v>
      </c>
      <c r="B145" s="13">
        <v>3.0</v>
      </c>
      <c r="C145" s="13">
        <v>3.0</v>
      </c>
      <c r="D145" s="13">
        <v>0.0</v>
      </c>
      <c r="E145" s="13">
        <v>0.0</v>
      </c>
      <c r="F145" s="13"/>
      <c r="G145" s="13">
        <v>2.0</v>
      </c>
      <c r="H145" s="13">
        <v>0.0</v>
      </c>
      <c r="I145" s="13"/>
      <c r="J145" s="13">
        <v>3.0</v>
      </c>
      <c r="K145" s="13"/>
      <c r="L145" s="13">
        <v>3.0</v>
      </c>
      <c r="M145" s="13">
        <v>0.0</v>
      </c>
      <c r="N145" s="13">
        <v>0.0</v>
      </c>
      <c r="O145" s="13"/>
      <c r="P145" s="13">
        <v>4.0</v>
      </c>
      <c r="Q145" s="13"/>
      <c r="R145" s="13">
        <v>4.0</v>
      </c>
      <c r="S145" s="13"/>
      <c r="T145" s="13">
        <v>3.0</v>
      </c>
      <c r="U145" s="13">
        <v>0.0</v>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2.71"/>
    <col customWidth="1" min="3" max="3" width="12.29"/>
    <col customWidth="1" min="4" max="4" width="13.43"/>
    <col customWidth="1" min="5" max="5" width="12.14"/>
    <col customWidth="1" min="6" max="6" width="13.14"/>
    <col customWidth="1" min="7" max="7" width="12.71"/>
    <col customWidth="1" min="8" max="8" width="10.71"/>
    <col customWidth="1" min="9" max="9" width="12.57"/>
    <col customWidth="1" min="10" max="10" width="11.43"/>
    <col customWidth="1" min="11" max="11" width="12.86"/>
    <col customWidth="1" min="12" max="12" width="12.14"/>
    <col customWidth="1" min="13" max="26" width="10.71"/>
  </cols>
  <sheetData>
    <row r="2">
      <c r="B2" s="26" t="s">
        <v>65</v>
      </c>
      <c r="C2" s="27">
        <f>MIN(Hermanos)</f>
        <v>1</v>
      </c>
    </row>
    <row r="3">
      <c r="B3" s="26" t="s">
        <v>66</v>
      </c>
      <c r="C3" s="27">
        <f>MAX(Hermanos)</f>
        <v>6</v>
      </c>
    </row>
    <row r="4">
      <c r="L4" s="28"/>
    </row>
    <row r="5">
      <c r="B5" s="29" t="s">
        <v>67</v>
      </c>
      <c r="C5" s="29" t="s">
        <v>68</v>
      </c>
      <c r="D5" s="29" t="s">
        <v>69</v>
      </c>
      <c r="E5" s="29" t="s">
        <v>70</v>
      </c>
      <c r="F5" s="29" t="s">
        <v>71</v>
      </c>
      <c r="G5" s="29" t="s">
        <v>72</v>
      </c>
    </row>
    <row r="6">
      <c r="B6" s="30">
        <v>1.0</v>
      </c>
      <c r="C6" s="30">
        <f>COUNTIF(Hermanos,B6)</f>
        <v>20</v>
      </c>
      <c r="D6" s="31">
        <f t="shared" ref="D6:D11" si="1">C6/$C$12</f>
        <v>0.157480315</v>
      </c>
      <c r="E6" s="30">
        <f>C6</f>
        <v>20</v>
      </c>
      <c r="F6" s="31">
        <f t="shared" ref="F6:F11" si="2">E6/$C$12</f>
        <v>0.157480315</v>
      </c>
      <c r="G6" s="30">
        <f t="shared" ref="G6:G11" si="3">B6*C6</f>
        <v>20</v>
      </c>
      <c r="H6" s="30"/>
      <c r="L6" s="32"/>
    </row>
    <row r="7">
      <c r="B7" s="30">
        <v>2.0</v>
      </c>
      <c r="C7" s="30">
        <f>COUNTIF(Hermanos,B7)</f>
        <v>71</v>
      </c>
      <c r="D7" s="31">
        <f t="shared" si="1"/>
        <v>0.5590551181</v>
      </c>
      <c r="E7" s="30">
        <f t="shared" ref="E7:E11" si="4">E6+C7</f>
        <v>91</v>
      </c>
      <c r="F7" s="31">
        <f t="shared" si="2"/>
        <v>0.7165354331</v>
      </c>
      <c r="G7" s="30">
        <f t="shared" si="3"/>
        <v>142</v>
      </c>
      <c r="H7" s="30"/>
    </row>
    <row r="8">
      <c r="B8" s="30">
        <v>3.0</v>
      </c>
      <c r="C8" s="30">
        <f>COUNTIF(Hermanos,B8)</f>
        <v>30</v>
      </c>
      <c r="D8" s="31">
        <f t="shared" si="1"/>
        <v>0.2362204724</v>
      </c>
      <c r="E8" s="30">
        <f t="shared" si="4"/>
        <v>121</v>
      </c>
      <c r="F8" s="31">
        <f t="shared" si="2"/>
        <v>0.9527559055</v>
      </c>
      <c r="G8" s="30">
        <f t="shared" si="3"/>
        <v>90</v>
      </c>
      <c r="H8" s="30"/>
    </row>
    <row r="9">
      <c r="B9" s="30">
        <v>4.0</v>
      </c>
      <c r="C9" s="30">
        <f>COUNTIF(Hermanos,B9)</f>
        <v>2</v>
      </c>
      <c r="D9" s="31">
        <f t="shared" si="1"/>
        <v>0.0157480315</v>
      </c>
      <c r="E9" s="30">
        <f t="shared" si="4"/>
        <v>123</v>
      </c>
      <c r="F9" s="31">
        <f t="shared" si="2"/>
        <v>0.968503937</v>
      </c>
      <c r="G9" s="30">
        <f t="shared" si="3"/>
        <v>8</v>
      </c>
      <c r="H9" s="30"/>
    </row>
    <row r="10">
      <c r="B10" s="30">
        <v>5.0</v>
      </c>
      <c r="C10" s="30">
        <f>COUNTIF(Hermanos,B10)</f>
        <v>2</v>
      </c>
      <c r="D10" s="31">
        <f t="shared" si="1"/>
        <v>0.0157480315</v>
      </c>
      <c r="E10" s="30">
        <f t="shared" si="4"/>
        <v>125</v>
      </c>
      <c r="F10" s="31">
        <f t="shared" si="2"/>
        <v>0.9842519685</v>
      </c>
      <c r="G10" s="30">
        <f t="shared" si="3"/>
        <v>10</v>
      </c>
      <c r="H10" s="30"/>
    </row>
    <row r="11">
      <c r="B11" s="30">
        <v>6.0</v>
      </c>
      <c r="C11" s="30">
        <f>COUNTIF(Hermanos,B11)</f>
        <v>2</v>
      </c>
      <c r="D11" s="31">
        <f t="shared" si="1"/>
        <v>0.0157480315</v>
      </c>
      <c r="E11" s="30">
        <f t="shared" si="4"/>
        <v>127</v>
      </c>
      <c r="F11" s="31">
        <f t="shared" si="2"/>
        <v>1</v>
      </c>
      <c r="G11" s="30">
        <f t="shared" si="3"/>
        <v>12</v>
      </c>
      <c r="H11" s="30"/>
    </row>
    <row r="12">
      <c r="B12" s="33" t="s">
        <v>73</v>
      </c>
      <c r="C12" s="34">
        <f t="shared" ref="C12:D12" si="5">SUM(C6:C11)</f>
        <v>127</v>
      </c>
      <c r="D12" s="35">
        <f t="shared" si="5"/>
        <v>1</v>
      </c>
      <c r="E12" s="34"/>
      <c r="F12" s="34"/>
      <c r="G12" s="34">
        <f>SUM(G6:G11)</f>
        <v>282</v>
      </c>
    </row>
    <row r="15">
      <c r="B15" s="36" t="s">
        <v>74</v>
      </c>
      <c r="C15" s="37"/>
      <c r="D15" s="38"/>
      <c r="F15" s="36" t="s">
        <v>75</v>
      </c>
      <c r="G15" s="37"/>
      <c r="H15" s="38"/>
    </row>
    <row r="16">
      <c r="B16" s="39" t="s">
        <v>76</v>
      </c>
      <c r="C16" s="40"/>
      <c r="D16" s="41"/>
      <c r="F16" s="39" t="s">
        <v>76</v>
      </c>
      <c r="G16" s="40"/>
      <c r="H16" s="41"/>
    </row>
    <row r="17">
      <c r="B17" s="42" t="s">
        <v>77</v>
      </c>
      <c r="C17" s="43">
        <f>MEDIAN(Hermanos)</f>
        <v>2</v>
      </c>
      <c r="D17" s="44" t="s">
        <v>78</v>
      </c>
      <c r="F17" s="42" t="s">
        <v>77</v>
      </c>
      <c r="G17" s="43">
        <f>B7</f>
        <v>2</v>
      </c>
      <c r="H17" s="44" t="s">
        <v>78</v>
      </c>
      <c r="I17" s="32" t="s">
        <v>79</v>
      </c>
    </row>
    <row r="18">
      <c r="C18" s="45"/>
      <c r="G18" s="45"/>
    </row>
    <row r="19">
      <c r="B19" s="42" t="s">
        <v>80</v>
      </c>
      <c r="C19" s="43">
        <f>_xlfn.QUARTILE.INC(Hermanos,1)</f>
        <v>2</v>
      </c>
      <c r="D19" s="44" t="s">
        <v>78</v>
      </c>
      <c r="F19" s="42" t="s">
        <v>80</v>
      </c>
      <c r="G19" s="43">
        <f t="shared" ref="G19:G20" si="6">B7</f>
        <v>2</v>
      </c>
      <c r="H19" s="44" t="s">
        <v>78</v>
      </c>
      <c r="I19" s="32" t="s">
        <v>81</v>
      </c>
    </row>
    <row r="20">
      <c r="B20" s="42" t="s">
        <v>82</v>
      </c>
      <c r="C20" s="43">
        <f>_xlfn.QUARTILE.INC(Hermanos,3)</f>
        <v>3</v>
      </c>
      <c r="D20" s="44" t="s">
        <v>78</v>
      </c>
      <c r="F20" s="42" t="s">
        <v>82</v>
      </c>
      <c r="G20" s="43">
        <f t="shared" si="6"/>
        <v>3</v>
      </c>
      <c r="H20" s="44" t="s">
        <v>78</v>
      </c>
      <c r="I20" s="32" t="s">
        <v>83</v>
      </c>
    </row>
    <row r="21" ht="15.75" customHeight="1">
      <c r="C21" s="45"/>
      <c r="G21" s="45"/>
    </row>
    <row r="22" ht="15.75" customHeight="1">
      <c r="B22" s="46" t="s">
        <v>84</v>
      </c>
      <c r="C22" s="47">
        <f>AVERAGE(Hermanos)</f>
        <v>2.220472441</v>
      </c>
      <c r="D22" s="44" t="s">
        <v>78</v>
      </c>
      <c r="F22" s="46" t="s">
        <v>84</v>
      </c>
      <c r="G22" s="47">
        <f>G12/C12</f>
        <v>2.220472441</v>
      </c>
      <c r="H22" s="44" t="s">
        <v>78</v>
      </c>
    </row>
    <row r="23" ht="15.75" customHeight="1">
      <c r="B23" s="42" t="s">
        <v>85</v>
      </c>
      <c r="C23" s="43">
        <f>_xlfn.MODE.SNGL(Hermanos)</f>
        <v>2</v>
      </c>
      <c r="D23" s="44" t="s">
        <v>78</v>
      </c>
      <c r="F23" s="42" t="s">
        <v>85</v>
      </c>
      <c r="G23" s="43">
        <f>B7</f>
        <v>2</v>
      </c>
      <c r="H23" s="44" t="s">
        <v>78</v>
      </c>
      <c r="I23" s="32" t="s">
        <v>86</v>
      </c>
    </row>
    <row r="24" ht="15.75" customHeight="1">
      <c r="F24" s="30"/>
      <c r="G24" s="45"/>
    </row>
    <row r="25" ht="15.75" customHeight="1"/>
    <row r="26" ht="15.75" customHeight="1">
      <c r="E26" s="30"/>
    </row>
    <row r="27" ht="15.75" customHeight="1">
      <c r="C27" s="30"/>
      <c r="D27" s="30"/>
      <c r="E27" s="30"/>
      <c r="F27" s="30"/>
    </row>
    <row r="28" ht="15.75" customHeight="1">
      <c r="F28" s="30"/>
      <c r="G28" s="30"/>
      <c r="H28" s="30"/>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5:D15"/>
    <mergeCell ref="F15:H15"/>
    <mergeCell ref="B16:D16"/>
    <mergeCell ref="F16:H16"/>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5.14"/>
    <col customWidth="1" min="3" max="3" width="10.71"/>
    <col customWidth="1" min="4" max="4" width="10.57"/>
    <col customWidth="1" min="5" max="5" width="13.14"/>
    <col customWidth="1" min="6" max="6" width="12.43"/>
    <col customWidth="1" min="7" max="7" width="15.71"/>
    <col customWidth="1" min="8" max="8" width="15.57"/>
    <col customWidth="1" min="9" max="9" width="11.71"/>
    <col customWidth="1" min="10" max="10" width="15.0"/>
    <col customWidth="1" min="11" max="11" width="14.86"/>
    <col customWidth="1" min="12" max="12" width="15.57"/>
    <col customWidth="1" min="13" max="13" width="11.71"/>
    <col customWidth="1" min="14" max="14" width="15.0"/>
    <col customWidth="1" min="15" max="15" width="14.86"/>
    <col customWidth="1" min="16" max="26" width="10.71"/>
  </cols>
  <sheetData>
    <row r="2">
      <c r="G2" s="48" t="s">
        <v>87</v>
      </c>
      <c r="H2" s="48" t="s">
        <v>88</v>
      </c>
      <c r="I2" s="48" t="s">
        <v>89</v>
      </c>
      <c r="J2" s="48" t="s">
        <v>90</v>
      </c>
      <c r="K2" s="48" t="s">
        <v>91</v>
      </c>
      <c r="L2" s="48" t="s">
        <v>92</v>
      </c>
      <c r="M2" s="48" t="s">
        <v>93</v>
      </c>
      <c r="N2" s="48" t="s">
        <v>94</v>
      </c>
      <c r="O2" s="48" t="s">
        <v>95</v>
      </c>
      <c r="P2" s="48" t="s">
        <v>96</v>
      </c>
      <c r="Q2" s="48" t="s">
        <v>97</v>
      </c>
      <c r="R2" s="48" t="s">
        <v>98</v>
      </c>
      <c r="S2" s="48" t="s">
        <v>99</v>
      </c>
    </row>
    <row r="3">
      <c r="G3" s="49">
        <f>C6</f>
        <v>150</v>
      </c>
      <c r="H3" s="49">
        <f t="shared" ref="H3:H11" si="2">G3+$C$9</f>
        <v>155</v>
      </c>
      <c r="I3" s="50">
        <f t="shared" ref="I3:I11" si="3">(G3+H3)/2</f>
        <v>152.5</v>
      </c>
      <c r="J3" s="51">
        <f t="shared" ref="J3:J11" si="4">SUM(K3:L3)</f>
        <v>2</v>
      </c>
      <c r="K3" s="52">
        <v>0.0</v>
      </c>
      <c r="L3" s="52">
        <v>2.0</v>
      </c>
      <c r="M3" s="53">
        <f t="shared" ref="M3:O3" si="1">J3/J$12</f>
        <v>0.01470588235</v>
      </c>
      <c r="N3" s="53">
        <f t="shared" si="1"/>
        <v>0</v>
      </c>
      <c r="O3" s="53">
        <f t="shared" si="1"/>
        <v>0.03773584906</v>
      </c>
      <c r="P3" s="54">
        <f t="shared" ref="P3:P11" si="6">H3-G3</f>
        <v>5</v>
      </c>
      <c r="Q3" s="54">
        <f t="shared" ref="Q3:Q11" si="7">J3/P3</f>
        <v>0.4</v>
      </c>
      <c r="R3" s="54">
        <f t="shared" ref="R3:R11" si="8">K3/P3</f>
        <v>0</v>
      </c>
      <c r="S3" s="54">
        <f t="shared" ref="S3:S11" si="9">L3/P3</f>
        <v>0.4</v>
      </c>
    </row>
    <row r="4">
      <c r="B4" s="55" t="s">
        <v>100</v>
      </c>
      <c r="C4" s="56">
        <f>MIN($B$15:$B$97,$D$15:$D$67)</f>
        <v>150</v>
      </c>
      <c r="G4" s="49">
        <f t="shared" ref="G4:G11" si="10">H3</f>
        <v>155</v>
      </c>
      <c r="H4" s="49">
        <f t="shared" si="2"/>
        <v>160</v>
      </c>
      <c r="I4" s="50">
        <f t="shared" si="3"/>
        <v>157.5</v>
      </c>
      <c r="J4" s="51">
        <f t="shared" si="4"/>
        <v>4</v>
      </c>
      <c r="K4" s="52">
        <v>1.0</v>
      </c>
      <c r="L4" s="52">
        <v>3.0</v>
      </c>
      <c r="M4" s="53">
        <f t="shared" ref="M4:O4" si="5">J4/J$12</f>
        <v>0.02941176471</v>
      </c>
      <c r="N4" s="53">
        <f t="shared" si="5"/>
        <v>0.01204819277</v>
      </c>
      <c r="O4" s="53">
        <f t="shared" si="5"/>
        <v>0.05660377358</v>
      </c>
      <c r="P4" s="54">
        <f t="shared" si="6"/>
        <v>5</v>
      </c>
      <c r="Q4" s="54">
        <f t="shared" si="7"/>
        <v>0.8</v>
      </c>
      <c r="R4" s="54">
        <f t="shared" si="8"/>
        <v>0.2</v>
      </c>
      <c r="S4" s="54">
        <f t="shared" si="9"/>
        <v>0.6</v>
      </c>
    </row>
    <row r="5">
      <c r="B5" s="55" t="s">
        <v>101</v>
      </c>
      <c r="C5" s="56">
        <f>MAX($B$15:$B$97,$D$15:$D$67)</f>
        <v>193</v>
      </c>
      <c r="G5" s="49">
        <f t="shared" si="10"/>
        <v>160</v>
      </c>
      <c r="H5" s="49">
        <f t="shared" si="2"/>
        <v>165</v>
      </c>
      <c r="I5" s="50">
        <f t="shared" si="3"/>
        <v>162.5</v>
      </c>
      <c r="J5" s="51">
        <f t="shared" si="4"/>
        <v>16</v>
      </c>
      <c r="K5" s="52">
        <v>1.0</v>
      </c>
      <c r="L5" s="52">
        <v>15.0</v>
      </c>
      <c r="M5" s="53">
        <f t="shared" ref="M5:O5" si="11">J5/J$12</f>
        <v>0.1176470588</v>
      </c>
      <c r="N5" s="53">
        <f t="shared" si="11"/>
        <v>0.01204819277</v>
      </c>
      <c r="O5" s="53">
        <f t="shared" si="11"/>
        <v>0.2830188679</v>
      </c>
      <c r="P5" s="54">
        <f t="shared" si="6"/>
        <v>5</v>
      </c>
      <c r="Q5" s="54">
        <f t="shared" si="7"/>
        <v>3.2</v>
      </c>
      <c r="R5" s="54">
        <f t="shared" si="8"/>
        <v>0.2</v>
      </c>
      <c r="S5" s="57">
        <f t="shared" si="9"/>
        <v>3</v>
      </c>
    </row>
    <row r="6">
      <c r="B6" s="55" t="s">
        <v>102</v>
      </c>
      <c r="C6" s="56">
        <v>150.0</v>
      </c>
      <c r="G6" s="49">
        <f t="shared" si="10"/>
        <v>165</v>
      </c>
      <c r="H6" s="49">
        <f t="shared" si="2"/>
        <v>170</v>
      </c>
      <c r="I6" s="50">
        <f t="shared" si="3"/>
        <v>167.5</v>
      </c>
      <c r="J6" s="51">
        <f t="shared" si="4"/>
        <v>27</v>
      </c>
      <c r="K6" s="52">
        <v>7.0</v>
      </c>
      <c r="L6" s="52">
        <v>20.0</v>
      </c>
      <c r="M6" s="53">
        <f t="shared" ref="M6:O6" si="12">J6/J$12</f>
        <v>0.1985294118</v>
      </c>
      <c r="N6" s="53">
        <f t="shared" si="12"/>
        <v>0.0843373494</v>
      </c>
      <c r="O6" s="53">
        <f t="shared" si="12"/>
        <v>0.3773584906</v>
      </c>
      <c r="P6" s="54">
        <f t="shared" si="6"/>
        <v>5</v>
      </c>
      <c r="Q6" s="54">
        <f t="shared" si="7"/>
        <v>5.4</v>
      </c>
      <c r="R6" s="54">
        <f t="shared" si="8"/>
        <v>1.4</v>
      </c>
      <c r="S6" s="54">
        <f t="shared" si="9"/>
        <v>4</v>
      </c>
    </row>
    <row r="7">
      <c r="B7" s="55" t="s">
        <v>103</v>
      </c>
      <c r="C7" s="56">
        <v>200.0</v>
      </c>
      <c r="G7" s="49">
        <f t="shared" si="10"/>
        <v>170</v>
      </c>
      <c r="H7" s="49">
        <f t="shared" si="2"/>
        <v>175</v>
      </c>
      <c r="I7" s="50">
        <f t="shared" si="3"/>
        <v>172.5</v>
      </c>
      <c r="J7" s="51">
        <f t="shared" si="4"/>
        <v>25</v>
      </c>
      <c r="K7" s="52">
        <v>15.0</v>
      </c>
      <c r="L7" s="52">
        <v>10.0</v>
      </c>
      <c r="M7" s="53">
        <f t="shared" ref="M7:O7" si="13">J7/J$12</f>
        <v>0.1838235294</v>
      </c>
      <c r="N7" s="53">
        <f t="shared" si="13"/>
        <v>0.1807228916</v>
      </c>
      <c r="O7" s="53">
        <f t="shared" si="13"/>
        <v>0.1886792453</v>
      </c>
      <c r="P7" s="54">
        <f t="shared" si="6"/>
        <v>5</v>
      </c>
      <c r="Q7" s="58">
        <f t="shared" si="7"/>
        <v>5</v>
      </c>
      <c r="R7" s="54">
        <f t="shared" si="8"/>
        <v>3</v>
      </c>
      <c r="S7" s="54">
        <f t="shared" si="9"/>
        <v>2</v>
      </c>
    </row>
    <row r="8">
      <c r="B8" s="55" t="s">
        <v>104</v>
      </c>
      <c r="C8" s="56">
        <v>10.0</v>
      </c>
      <c r="G8" s="49">
        <f t="shared" si="10"/>
        <v>175</v>
      </c>
      <c r="H8" s="49">
        <f t="shared" si="2"/>
        <v>180</v>
      </c>
      <c r="I8" s="50">
        <f t="shared" si="3"/>
        <v>177.5</v>
      </c>
      <c r="J8" s="51">
        <f t="shared" si="4"/>
        <v>17</v>
      </c>
      <c r="K8" s="52">
        <v>16.0</v>
      </c>
      <c r="L8" s="52">
        <v>1.0</v>
      </c>
      <c r="M8" s="53">
        <f t="shared" ref="M8:O8" si="14">J8/J$12</f>
        <v>0.125</v>
      </c>
      <c r="N8" s="53">
        <f t="shared" si="14"/>
        <v>0.1927710843</v>
      </c>
      <c r="O8" s="53">
        <f t="shared" si="14"/>
        <v>0.01886792453</v>
      </c>
      <c r="P8" s="54">
        <f t="shared" si="6"/>
        <v>5</v>
      </c>
      <c r="Q8" s="54">
        <f t="shared" si="7"/>
        <v>3.4</v>
      </c>
      <c r="R8" s="59">
        <f t="shared" si="8"/>
        <v>3.2</v>
      </c>
      <c r="S8" s="54">
        <f t="shared" si="9"/>
        <v>0.2</v>
      </c>
    </row>
    <row r="9">
      <c r="B9" s="55" t="s">
        <v>105</v>
      </c>
      <c r="C9" s="56">
        <f>(C7-C6)/C8</f>
        <v>5</v>
      </c>
      <c r="G9" s="49">
        <f t="shared" si="10"/>
        <v>180</v>
      </c>
      <c r="H9" s="49">
        <f t="shared" si="2"/>
        <v>185</v>
      </c>
      <c r="I9" s="50">
        <f t="shared" si="3"/>
        <v>182.5</v>
      </c>
      <c r="J9" s="51">
        <f t="shared" si="4"/>
        <v>27</v>
      </c>
      <c r="K9" s="52">
        <v>27.0</v>
      </c>
      <c r="L9" s="52">
        <v>0.0</v>
      </c>
      <c r="M9" s="53">
        <f t="shared" ref="M9:O9" si="15">J9/J$12</f>
        <v>0.1985294118</v>
      </c>
      <c r="N9" s="53">
        <f t="shared" si="15"/>
        <v>0.3253012048</v>
      </c>
      <c r="O9" s="53">
        <f t="shared" si="15"/>
        <v>0</v>
      </c>
      <c r="P9" s="54">
        <f t="shared" si="6"/>
        <v>5</v>
      </c>
      <c r="Q9" s="54">
        <f t="shared" si="7"/>
        <v>5.4</v>
      </c>
      <c r="R9" s="54">
        <f t="shared" si="8"/>
        <v>5.4</v>
      </c>
      <c r="S9" s="54">
        <f t="shared" si="9"/>
        <v>0</v>
      </c>
    </row>
    <row r="10">
      <c r="G10" s="49">
        <f t="shared" si="10"/>
        <v>185</v>
      </c>
      <c r="H10" s="49">
        <f t="shared" si="2"/>
        <v>190</v>
      </c>
      <c r="I10" s="50">
        <f t="shared" si="3"/>
        <v>187.5</v>
      </c>
      <c r="J10" s="51">
        <f t="shared" si="4"/>
        <v>12</v>
      </c>
      <c r="K10" s="52">
        <v>10.0</v>
      </c>
      <c r="L10" s="52">
        <v>2.0</v>
      </c>
      <c r="M10" s="53">
        <f t="shared" ref="M10:O10" si="16">J10/J$12</f>
        <v>0.08823529412</v>
      </c>
      <c r="N10" s="53">
        <f t="shared" si="16"/>
        <v>0.1204819277</v>
      </c>
      <c r="O10" s="53">
        <f t="shared" si="16"/>
        <v>0.03773584906</v>
      </c>
      <c r="P10" s="54">
        <f t="shared" si="6"/>
        <v>5</v>
      </c>
      <c r="Q10" s="54">
        <f t="shared" si="7"/>
        <v>2.4</v>
      </c>
      <c r="R10" s="54">
        <f t="shared" si="8"/>
        <v>2</v>
      </c>
      <c r="S10" s="54">
        <f t="shared" si="9"/>
        <v>0.4</v>
      </c>
    </row>
    <row r="11">
      <c r="G11" s="49">
        <f t="shared" si="10"/>
        <v>190</v>
      </c>
      <c r="H11" s="49">
        <f t="shared" si="2"/>
        <v>195</v>
      </c>
      <c r="I11" s="50">
        <f t="shared" si="3"/>
        <v>192.5</v>
      </c>
      <c r="J11" s="51">
        <f t="shared" si="4"/>
        <v>6</v>
      </c>
      <c r="K11" s="52">
        <v>6.0</v>
      </c>
      <c r="L11" s="52">
        <v>0.0</v>
      </c>
      <c r="M11" s="53">
        <f t="shared" ref="M11:O11" si="17">J11/J$12</f>
        <v>0.04411764706</v>
      </c>
      <c r="N11" s="53">
        <f t="shared" si="17"/>
        <v>0.07228915663</v>
      </c>
      <c r="O11" s="53">
        <f t="shared" si="17"/>
        <v>0</v>
      </c>
      <c r="P11" s="54">
        <f t="shared" si="6"/>
        <v>5</v>
      </c>
      <c r="Q11" s="54">
        <f t="shared" si="7"/>
        <v>1.2</v>
      </c>
      <c r="R11" s="54">
        <f t="shared" si="8"/>
        <v>1.2</v>
      </c>
      <c r="S11" s="54">
        <f t="shared" si="9"/>
        <v>0</v>
      </c>
    </row>
    <row r="12">
      <c r="G12" s="60" t="s">
        <v>106</v>
      </c>
      <c r="H12" s="41"/>
      <c r="I12" s="61"/>
      <c r="J12" s="62">
        <f t="shared" ref="J12:O12" si="18">SUM(J3:J11)</f>
        <v>136</v>
      </c>
      <c r="K12" s="62">
        <f t="shared" si="18"/>
        <v>83</v>
      </c>
      <c r="L12" s="62">
        <f t="shared" si="18"/>
        <v>53</v>
      </c>
      <c r="M12" s="63">
        <f t="shared" si="18"/>
        <v>1</v>
      </c>
      <c r="N12" s="63">
        <f t="shared" si="18"/>
        <v>1</v>
      </c>
      <c r="O12" s="63">
        <f t="shared" si="18"/>
        <v>1</v>
      </c>
    </row>
    <row r="14">
      <c r="A14" s="7" t="s">
        <v>2</v>
      </c>
      <c r="B14" s="7" t="s">
        <v>4</v>
      </c>
      <c r="C14" s="7" t="s">
        <v>2</v>
      </c>
      <c r="D14" s="7" t="s">
        <v>4</v>
      </c>
    </row>
    <row r="15">
      <c r="A15" s="9" t="s">
        <v>44</v>
      </c>
      <c r="B15" s="11">
        <v>182.0</v>
      </c>
      <c r="C15" s="9" t="s">
        <v>54</v>
      </c>
      <c r="D15" s="11">
        <v>162.0</v>
      </c>
    </row>
    <row r="16">
      <c r="A16" s="9" t="s">
        <v>44</v>
      </c>
      <c r="B16" s="11">
        <v>185.0</v>
      </c>
      <c r="C16" s="9" t="s">
        <v>54</v>
      </c>
      <c r="D16" s="11">
        <v>172.0</v>
      </c>
      <c r="G16" s="64" t="s">
        <v>107</v>
      </c>
      <c r="H16" s="64" t="s">
        <v>108</v>
      </c>
      <c r="I16" s="64" t="s">
        <v>109</v>
      </c>
      <c r="J16" s="64" t="s">
        <v>110</v>
      </c>
      <c r="K16" s="65" t="s">
        <v>111</v>
      </c>
    </row>
    <row r="17">
      <c r="A17" s="9" t="s">
        <v>44</v>
      </c>
      <c r="B17" s="11">
        <v>170.0</v>
      </c>
      <c r="C17" s="9" t="s">
        <v>54</v>
      </c>
      <c r="D17" s="11">
        <v>159.0</v>
      </c>
      <c r="G17" s="66" t="s">
        <v>84</v>
      </c>
      <c r="H17" s="67">
        <f>AVERAGE(I3*J3)</f>
        <v>305</v>
      </c>
      <c r="I17" s="67">
        <f>AVERAGE(Estatura_H)</f>
        <v>178.0963855</v>
      </c>
      <c r="J17" s="67">
        <f>AVERAGE(Estatura_M)</f>
        <v>165.7264151</v>
      </c>
      <c r="K17" s="68" t="s">
        <v>112</v>
      </c>
    </row>
    <row r="18">
      <c r="A18" s="9" t="s">
        <v>44</v>
      </c>
      <c r="B18" s="11">
        <v>182.0</v>
      </c>
      <c r="C18" s="9" t="s">
        <v>54</v>
      </c>
      <c r="D18" s="23">
        <v>160.0</v>
      </c>
      <c r="G18" s="66" t="s">
        <v>77</v>
      </c>
      <c r="H18" s="67" t="str">
        <f>MEDIAN(Estatura)</f>
        <v>#NAME?</v>
      </c>
      <c r="I18" s="67">
        <f>MEDIAN(Estatura_H)</f>
        <v>180</v>
      </c>
      <c r="J18" s="67">
        <f>MEDIAN(Estatura_M)</f>
        <v>165</v>
      </c>
      <c r="K18" s="69" t="s">
        <v>112</v>
      </c>
    </row>
    <row r="19">
      <c r="A19" s="9" t="s">
        <v>44</v>
      </c>
      <c r="B19" s="11">
        <v>182.0</v>
      </c>
      <c r="C19" s="9" t="s">
        <v>54</v>
      </c>
      <c r="D19" s="11">
        <v>163.0</v>
      </c>
      <c r="G19" s="70" t="s">
        <v>85</v>
      </c>
      <c r="H19" s="71">
        <f>G7+M8*$C$9/(M6+M8)</f>
        <v>171.9318182</v>
      </c>
      <c r="I19" s="72">
        <f>G8+N9*$C$9/(N7+N9)</f>
        <v>178.2142857</v>
      </c>
      <c r="J19" s="73">
        <f>G5+O6*$C$9/(O4+O6)</f>
        <v>164.3478261</v>
      </c>
      <c r="K19" s="69" t="s">
        <v>112</v>
      </c>
    </row>
    <row r="20">
      <c r="A20" s="9" t="s">
        <v>44</v>
      </c>
      <c r="B20" s="11">
        <v>180.0</v>
      </c>
      <c r="C20" s="9" t="s">
        <v>54</v>
      </c>
      <c r="D20" s="11">
        <v>160.0</v>
      </c>
      <c r="G20" s="70" t="s">
        <v>113</v>
      </c>
      <c r="H20" s="67" t="str">
        <f>_xlfn.PERCENTILE.EXC(Estatura,0.9)</f>
        <v>#NAME?</v>
      </c>
      <c r="I20" s="67">
        <f>_xlfn.PERCENTILE.EXC(Estatura_H,0.9)</f>
        <v>189</v>
      </c>
      <c r="J20" s="67">
        <f>_xlfn.PERCENTILE.EXC(Estatura_M,0.9)</f>
        <v>173</v>
      </c>
      <c r="K20" s="74" t="s">
        <v>112</v>
      </c>
    </row>
    <row r="21" ht="15.75" customHeight="1">
      <c r="A21" s="9" t="s">
        <v>44</v>
      </c>
      <c r="B21" s="11">
        <v>178.0</v>
      </c>
      <c r="C21" s="9" t="s">
        <v>54</v>
      </c>
      <c r="D21" s="11">
        <v>162.0</v>
      </c>
    </row>
    <row r="22" ht="15.75" customHeight="1">
      <c r="A22" s="9" t="s">
        <v>44</v>
      </c>
      <c r="B22" s="11">
        <v>173.0</v>
      </c>
      <c r="C22" s="9" t="s">
        <v>54</v>
      </c>
      <c r="D22" s="11">
        <v>165.0</v>
      </c>
    </row>
    <row r="23" ht="15.75" customHeight="1">
      <c r="A23" s="9" t="s">
        <v>44</v>
      </c>
      <c r="B23" s="11">
        <v>184.0</v>
      </c>
      <c r="C23" s="9" t="s">
        <v>54</v>
      </c>
      <c r="D23" s="11">
        <v>165.0</v>
      </c>
    </row>
    <row r="24" ht="15.75" customHeight="1">
      <c r="A24" s="9" t="s">
        <v>44</v>
      </c>
      <c r="B24" s="11">
        <v>172.0</v>
      </c>
      <c r="C24" s="9" t="s">
        <v>54</v>
      </c>
      <c r="D24" s="23">
        <v>173.0</v>
      </c>
    </row>
    <row r="25" ht="15.75" customHeight="1">
      <c r="A25" s="9" t="s">
        <v>44</v>
      </c>
      <c r="B25" s="23">
        <v>174.0</v>
      </c>
      <c r="C25" s="9" t="s">
        <v>54</v>
      </c>
      <c r="D25" s="11">
        <v>167.0</v>
      </c>
    </row>
    <row r="26" ht="15.75" customHeight="1">
      <c r="A26" s="9" t="s">
        <v>44</v>
      </c>
      <c r="B26" s="11">
        <v>173.0</v>
      </c>
      <c r="C26" s="9" t="s">
        <v>54</v>
      </c>
      <c r="D26" s="11">
        <v>170.0</v>
      </c>
    </row>
    <row r="27" ht="15.75" customHeight="1">
      <c r="A27" s="9" t="s">
        <v>44</v>
      </c>
      <c r="B27" s="11">
        <v>171.0</v>
      </c>
      <c r="C27" s="9" t="s">
        <v>54</v>
      </c>
      <c r="D27" s="11">
        <v>163.5</v>
      </c>
    </row>
    <row r="28" ht="15.75" customHeight="1">
      <c r="A28" s="9" t="s">
        <v>44</v>
      </c>
      <c r="B28" s="11">
        <v>177.0</v>
      </c>
      <c r="C28" s="9" t="s">
        <v>54</v>
      </c>
      <c r="D28" s="11">
        <v>150.0</v>
      </c>
    </row>
    <row r="29" ht="15.75" customHeight="1">
      <c r="A29" s="9" t="s">
        <v>44</v>
      </c>
      <c r="B29" s="11">
        <v>175.0</v>
      </c>
      <c r="C29" s="9" t="s">
        <v>54</v>
      </c>
      <c r="D29" s="11">
        <v>185.0</v>
      </c>
    </row>
    <row r="30" ht="15.75" customHeight="1">
      <c r="A30" s="9" t="s">
        <v>44</v>
      </c>
      <c r="B30" s="11">
        <v>180.0</v>
      </c>
      <c r="C30" s="9" t="s">
        <v>54</v>
      </c>
      <c r="D30" s="11">
        <v>167.0</v>
      </c>
    </row>
    <row r="31" ht="15.75" customHeight="1">
      <c r="A31" s="9" t="s">
        <v>44</v>
      </c>
      <c r="B31" s="11">
        <v>185.0</v>
      </c>
      <c r="C31" s="9" t="s">
        <v>54</v>
      </c>
      <c r="D31" s="11">
        <v>165.0</v>
      </c>
    </row>
    <row r="32" ht="15.75" customHeight="1">
      <c r="A32" s="9" t="s">
        <v>44</v>
      </c>
      <c r="B32" s="11">
        <v>172.0</v>
      </c>
      <c r="C32" s="9" t="s">
        <v>54</v>
      </c>
      <c r="D32" s="11">
        <v>165.0</v>
      </c>
    </row>
    <row r="33" ht="15.75" customHeight="1">
      <c r="A33" s="9" t="s">
        <v>44</v>
      </c>
      <c r="B33" s="11">
        <v>183.0</v>
      </c>
      <c r="C33" s="9" t="s">
        <v>54</v>
      </c>
      <c r="D33" s="11">
        <v>163.0</v>
      </c>
    </row>
    <row r="34" ht="15.75" customHeight="1">
      <c r="A34" s="9" t="s">
        <v>44</v>
      </c>
      <c r="B34" s="11">
        <v>180.0</v>
      </c>
      <c r="C34" s="9" t="s">
        <v>54</v>
      </c>
      <c r="D34" s="11">
        <v>165.0</v>
      </c>
    </row>
    <row r="35" ht="15.75" customHeight="1">
      <c r="A35" s="9" t="s">
        <v>44</v>
      </c>
      <c r="B35" s="11">
        <v>171.0</v>
      </c>
      <c r="C35" s="9" t="s">
        <v>54</v>
      </c>
      <c r="D35" s="11">
        <v>165.0</v>
      </c>
    </row>
    <row r="36" ht="15.75" customHeight="1">
      <c r="A36" s="9" t="s">
        <v>44</v>
      </c>
      <c r="B36" s="11">
        <v>186.0</v>
      </c>
      <c r="C36" s="9" t="s">
        <v>54</v>
      </c>
      <c r="D36" s="11">
        <v>187.0</v>
      </c>
    </row>
    <row r="37" ht="15.75" customHeight="1">
      <c r="A37" s="9" t="s">
        <v>44</v>
      </c>
      <c r="B37" s="23">
        <v>187.0</v>
      </c>
      <c r="C37" s="9" t="s">
        <v>54</v>
      </c>
      <c r="D37" s="11">
        <v>175.0</v>
      </c>
    </row>
    <row r="38" ht="15.75" customHeight="1">
      <c r="A38" s="9" t="s">
        <v>44</v>
      </c>
      <c r="B38" s="23">
        <v>175.0</v>
      </c>
      <c r="C38" s="9" t="s">
        <v>54</v>
      </c>
      <c r="D38" s="23">
        <v>158.0</v>
      </c>
    </row>
    <row r="39" ht="15.75" customHeight="1">
      <c r="A39" s="9" t="s">
        <v>44</v>
      </c>
      <c r="B39" s="23">
        <v>180.0</v>
      </c>
      <c r="C39" s="9" t="s">
        <v>54</v>
      </c>
      <c r="D39" s="23">
        <v>168.0</v>
      </c>
    </row>
    <row r="40" ht="15.75" customHeight="1">
      <c r="A40" s="9" t="s">
        <v>44</v>
      </c>
      <c r="B40" s="23">
        <v>180.0</v>
      </c>
      <c r="C40" s="9" t="s">
        <v>54</v>
      </c>
      <c r="D40" s="23">
        <v>162.0</v>
      </c>
    </row>
    <row r="41" ht="15.75" customHeight="1">
      <c r="A41" s="9" t="s">
        <v>44</v>
      </c>
      <c r="B41" s="11">
        <v>168.0</v>
      </c>
      <c r="C41" s="9" t="s">
        <v>54</v>
      </c>
      <c r="D41" s="23">
        <v>168.0</v>
      </c>
    </row>
    <row r="42" ht="15.75" customHeight="1">
      <c r="A42" s="9" t="s">
        <v>44</v>
      </c>
      <c r="B42" s="11">
        <v>190.0</v>
      </c>
      <c r="C42" s="9" t="s">
        <v>54</v>
      </c>
      <c r="D42" s="23">
        <v>162.0</v>
      </c>
    </row>
    <row r="43" ht="15.75" customHeight="1">
      <c r="A43" s="9" t="s">
        <v>44</v>
      </c>
      <c r="B43" s="11">
        <v>169.0</v>
      </c>
      <c r="C43" s="9" t="s">
        <v>54</v>
      </c>
      <c r="D43" s="23">
        <v>158.0</v>
      </c>
    </row>
    <row r="44" ht="15.75" customHeight="1">
      <c r="A44" s="9" t="s">
        <v>44</v>
      </c>
      <c r="B44" s="11">
        <v>175.0</v>
      </c>
      <c r="C44" s="9" t="s">
        <v>54</v>
      </c>
      <c r="D44" s="23">
        <v>172.0</v>
      </c>
    </row>
    <row r="45" ht="15.75" customHeight="1">
      <c r="A45" s="9" t="s">
        <v>44</v>
      </c>
      <c r="B45" s="11">
        <v>165.0</v>
      </c>
      <c r="C45" s="9" t="s">
        <v>54</v>
      </c>
      <c r="D45" s="23">
        <v>171.0</v>
      </c>
    </row>
    <row r="46" ht="15.75" customHeight="1">
      <c r="A46" s="9" t="s">
        <v>44</v>
      </c>
      <c r="B46" s="11">
        <v>176.0</v>
      </c>
      <c r="C46" s="9" t="s">
        <v>54</v>
      </c>
      <c r="D46" s="23">
        <v>165.0</v>
      </c>
    </row>
    <row r="47" ht="15.75" customHeight="1">
      <c r="A47" s="9" t="s">
        <v>44</v>
      </c>
      <c r="B47" s="11">
        <v>178.0</v>
      </c>
      <c r="C47" s="9" t="s">
        <v>54</v>
      </c>
      <c r="D47" s="23">
        <v>165.0</v>
      </c>
    </row>
    <row r="48" ht="15.75" customHeight="1">
      <c r="A48" s="9" t="s">
        <v>44</v>
      </c>
      <c r="B48" s="11">
        <v>165.0</v>
      </c>
      <c r="C48" s="9" t="s">
        <v>54</v>
      </c>
      <c r="D48" s="23">
        <v>165.0</v>
      </c>
    </row>
    <row r="49" ht="15.75" customHeight="1">
      <c r="A49" s="9" t="s">
        <v>44</v>
      </c>
      <c r="B49" s="11">
        <v>174.0</v>
      </c>
      <c r="C49" s="9" t="s">
        <v>54</v>
      </c>
      <c r="D49" s="11">
        <v>165.0</v>
      </c>
    </row>
    <row r="50" ht="15.75" customHeight="1">
      <c r="A50" s="9" t="s">
        <v>44</v>
      </c>
      <c r="B50" s="23">
        <v>175.0</v>
      </c>
      <c r="C50" s="9" t="s">
        <v>54</v>
      </c>
      <c r="D50" s="11">
        <v>173.0</v>
      </c>
    </row>
    <row r="51" ht="15.75" customHeight="1">
      <c r="A51" s="9" t="s">
        <v>44</v>
      </c>
      <c r="B51" s="23">
        <v>190.0</v>
      </c>
      <c r="C51" s="9" t="s">
        <v>54</v>
      </c>
      <c r="D51" s="11">
        <v>165.0</v>
      </c>
    </row>
    <row r="52" ht="15.75" customHeight="1">
      <c r="A52" s="9" t="s">
        <v>44</v>
      </c>
      <c r="B52" s="23">
        <v>178.0</v>
      </c>
      <c r="C52" s="9" t="s">
        <v>54</v>
      </c>
      <c r="D52" s="11">
        <v>165.0</v>
      </c>
    </row>
    <row r="53" ht="15.75" customHeight="1">
      <c r="A53" s="9" t="s">
        <v>44</v>
      </c>
      <c r="B53" s="23">
        <v>166.0</v>
      </c>
      <c r="C53" s="9" t="s">
        <v>54</v>
      </c>
      <c r="D53" s="11">
        <v>167.0</v>
      </c>
    </row>
    <row r="54" ht="15.75" customHeight="1">
      <c r="A54" s="9" t="s">
        <v>44</v>
      </c>
      <c r="B54" s="23">
        <v>180.0</v>
      </c>
      <c r="C54" s="9" t="s">
        <v>54</v>
      </c>
      <c r="D54" s="11">
        <v>169.0</v>
      </c>
    </row>
    <row r="55" ht="15.75" customHeight="1">
      <c r="A55" s="9" t="s">
        <v>44</v>
      </c>
      <c r="B55" s="23">
        <v>189.0</v>
      </c>
      <c r="C55" s="9" t="s">
        <v>54</v>
      </c>
      <c r="D55" s="11">
        <v>170.0</v>
      </c>
    </row>
    <row r="56" ht="15.75" customHeight="1">
      <c r="A56" s="9" t="s">
        <v>44</v>
      </c>
      <c r="B56" s="23">
        <v>190.0</v>
      </c>
      <c r="C56" s="9" t="s">
        <v>54</v>
      </c>
      <c r="D56" s="11">
        <v>162.0</v>
      </c>
    </row>
    <row r="57" ht="15.75" customHeight="1">
      <c r="A57" s="9" t="s">
        <v>44</v>
      </c>
      <c r="B57" s="23">
        <v>180.0</v>
      </c>
      <c r="C57" s="9" t="s">
        <v>54</v>
      </c>
      <c r="D57" s="11">
        <v>150.0</v>
      </c>
    </row>
    <row r="58" ht="15.75" customHeight="1">
      <c r="A58" s="9" t="s">
        <v>44</v>
      </c>
      <c r="B58" s="23">
        <v>182.0</v>
      </c>
      <c r="C58" s="9" t="s">
        <v>54</v>
      </c>
      <c r="D58" s="11">
        <v>170.0</v>
      </c>
    </row>
    <row r="59" ht="15.75" customHeight="1">
      <c r="A59" s="9" t="s">
        <v>44</v>
      </c>
      <c r="B59" s="23">
        <v>180.0</v>
      </c>
      <c r="C59" s="9" t="s">
        <v>54</v>
      </c>
      <c r="D59" s="11">
        <v>169.0</v>
      </c>
    </row>
    <row r="60" ht="15.75" customHeight="1">
      <c r="A60" s="9" t="s">
        <v>44</v>
      </c>
      <c r="B60" s="23">
        <v>175.0</v>
      </c>
      <c r="C60" s="9" t="s">
        <v>54</v>
      </c>
      <c r="D60" s="11">
        <v>172.0</v>
      </c>
    </row>
    <row r="61" ht="15.75" customHeight="1">
      <c r="A61" s="9" t="s">
        <v>44</v>
      </c>
      <c r="B61" s="23">
        <v>183.0</v>
      </c>
      <c r="C61" s="9" t="s">
        <v>54</v>
      </c>
      <c r="D61" s="11">
        <v>160.0</v>
      </c>
    </row>
    <row r="62" ht="15.75" customHeight="1">
      <c r="A62" s="9" t="s">
        <v>44</v>
      </c>
      <c r="B62" s="23">
        <v>180.0</v>
      </c>
      <c r="C62" s="9" t="s">
        <v>54</v>
      </c>
      <c r="D62" s="11">
        <v>173.0</v>
      </c>
    </row>
    <row r="63" ht="15.75" customHeight="1">
      <c r="A63" s="9" t="s">
        <v>44</v>
      </c>
      <c r="B63" s="11">
        <v>175.0</v>
      </c>
      <c r="C63" s="9" t="s">
        <v>54</v>
      </c>
      <c r="D63" s="11">
        <v>168.0</v>
      </c>
    </row>
    <row r="64" ht="15.75" customHeight="1">
      <c r="A64" s="9" t="s">
        <v>44</v>
      </c>
      <c r="B64" s="11">
        <v>180.0</v>
      </c>
      <c r="C64" s="9" t="s">
        <v>54</v>
      </c>
      <c r="D64" s="11">
        <v>163.0</v>
      </c>
    </row>
    <row r="65" ht="15.75" customHeight="1">
      <c r="A65" s="9" t="s">
        <v>44</v>
      </c>
      <c r="B65" s="11">
        <v>175.0</v>
      </c>
      <c r="C65" s="9" t="s">
        <v>54</v>
      </c>
      <c r="D65" s="23">
        <v>160.0</v>
      </c>
    </row>
    <row r="66" ht="15.75" customHeight="1">
      <c r="A66" s="9" t="s">
        <v>44</v>
      </c>
      <c r="B66" s="23">
        <v>180.0</v>
      </c>
      <c r="C66" s="9" t="s">
        <v>54</v>
      </c>
      <c r="D66" s="11">
        <v>160.0</v>
      </c>
    </row>
    <row r="67" ht="15.75" customHeight="1">
      <c r="A67" s="9" t="s">
        <v>44</v>
      </c>
      <c r="B67" s="23">
        <v>180.0</v>
      </c>
      <c r="C67" s="9" t="s">
        <v>54</v>
      </c>
      <c r="D67" s="11">
        <v>160.0</v>
      </c>
    </row>
    <row r="68" ht="15.75" customHeight="1">
      <c r="A68" s="9" t="s">
        <v>44</v>
      </c>
      <c r="B68" s="23">
        <v>186.0</v>
      </c>
    </row>
    <row r="69" ht="15.75" customHeight="1">
      <c r="A69" s="9" t="s">
        <v>44</v>
      </c>
      <c r="B69" s="23">
        <v>181.0</v>
      </c>
    </row>
    <row r="70" ht="15.75" customHeight="1">
      <c r="A70" s="9" t="s">
        <v>44</v>
      </c>
      <c r="B70" s="23">
        <v>158.0</v>
      </c>
    </row>
    <row r="71" ht="15.75" customHeight="1">
      <c r="A71" s="9" t="s">
        <v>44</v>
      </c>
      <c r="B71" s="23">
        <v>178.0</v>
      </c>
    </row>
    <row r="72" ht="15.75" customHeight="1">
      <c r="A72" s="9" t="s">
        <v>44</v>
      </c>
      <c r="B72" s="23">
        <v>175.0</v>
      </c>
    </row>
    <row r="73" ht="15.75" customHeight="1">
      <c r="A73" s="9" t="s">
        <v>44</v>
      </c>
      <c r="B73" s="23">
        <v>180.0</v>
      </c>
    </row>
    <row r="74" ht="15.75" customHeight="1">
      <c r="A74" s="9" t="s">
        <v>44</v>
      </c>
      <c r="B74" s="23">
        <v>182.0</v>
      </c>
    </row>
    <row r="75" ht="15.75" customHeight="1">
      <c r="A75" s="9" t="s">
        <v>44</v>
      </c>
      <c r="B75" s="11">
        <v>185.0</v>
      </c>
    </row>
    <row r="76" ht="15.75" customHeight="1">
      <c r="A76" s="9" t="s">
        <v>44</v>
      </c>
      <c r="B76" s="11">
        <v>170.0</v>
      </c>
    </row>
    <row r="77" ht="15.75" customHeight="1">
      <c r="A77" s="9" t="s">
        <v>44</v>
      </c>
      <c r="B77" s="11">
        <v>189.0</v>
      </c>
    </row>
    <row r="78" ht="15.75" customHeight="1">
      <c r="A78" s="9" t="s">
        <v>44</v>
      </c>
      <c r="B78" s="11">
        <v>170.0</v>
      </c>
    </row>
    <row r="79" ht="15.75" customHeight="1">
      <c r="A79" s="9" t="s">
        <v>44</v>
      </c>
      <c r="B79" s="11">
        <v>185.0</v>
      </c>
    </row>
    <row r="80" ht="15.75" customHeight="1">
      <c r="A80" s="9" t="s">
        <v>44</v>
      </c>
      <c r="B80" s="11">
        <v>189.0</v>
      </c>
    </row>
    <row r="81" ht="15.75" customHeight="1">
      <c r="A81" s="9" t="s">
        <v>44</v>
      </c>
      <c r="B81" s="11">
        <v>180.0</v>
      </c>
    </row>
    <row r="82" ht="15.75" customHeight="1">
      <c r="A82" s="9" t="s">
        <v>44</v>
      </c>
      <c r="B82" s="11">
        <v>192.0</v>
      </c>
    </row>
    <row r="83" ht="15.75" customHeight="1">
      <c r="A83" s="9" t="s">
        <v>44</v>
      </c>
      <c r="B83" s="11">
        <v>193.0</v>
      </c>
    </row>
    <row r="84" ht="15.75" customHeight="1">
      <c r="A84" s="9" t="s">
        <v>44</v>
      </c>
      <c r="B84" s="11">
        <v>170.0</v>
      </c>
    </row>
    <row r="85" ht="15.75" customHeight="1">
      <c r="A85" s="9" t="s">
        <v>44</v>
      </c>
      <c r="B85" s="11">
        <v>170.0</v>
      </c>
    </row>
    <row r="86" ht="15.75" customHeight="1">
      <c r="A86" s="9" t="s">
        <v>44</v>
      </c>
      <c r="B86" s="11">
        <v>168.0</v>
      </c>
    </row>
    <row r="87" ht="15.75" customHeight="1">
      <c r="A87" s="9" t="s">
        <v>44</v>
      </c>
      <c r="B87" s="11">
        <v>176.0</v>
      </c>
    </row>
    <row r="88" ht="15.75" customHeight="1">
      <c r="A88" s="9" t="s">
        <v>44</v>
      </c>
      <c r="B88" s="11">
        <v>173.0</v>
      </c>
    </row>
    <row r="89" ht="15.75" customHeight="1">
      <c r="A89" s="9" t="s">
        <v>44</v>
      </c>
      <c r="B89" s="11">
        <v>163.0</v>
      </c>
    </row>
    <row r="90" ht="15.75" customHeight="1">
      <c r="A90" s="9" t="s">
        <v>44</v>
      </c>
      <c r="B90" s="11">
        <v>183.0</v>
      </c>
    </row>
    <row r="91" ht="15.75" customHeight="1">
      <c r="A91" s="9" t="s">
        <v>44</v>
      </c>
      <c r="B91" s="11">
        <v>167.0</v>
      </c>
    </row>
    <row r="92" ht="15.75" customHeight="1">
      <c r="A92" s="9" t="s">
        <v>44</v>
      </c>
      <c r="B92" s="11">
        <v>181.0</v>
      </c>
    </row>
    <row r="93" ht="15.75" customHeight="1">
      <c r="A93" s="9" t="s">
        <v>44</v>
      </c>
      <c r="B93" s="11">
        <v>182.0</v>
      </c>
    </row>
    <row r="94" ht="15.75" customHeight="1">
      <c r="A94" s="9" t="s">
        <v>44</v>
      </c>
      <c r="B94" s="11">
        <v>180.0</v>
      </c>
    </row>
    <row r="95" ht="15.75" customHeight="1">
      <c r="A95" s="9" t="s">
        <v>44</v>
      </c>
      <c r="B95" s="11">
        <v>177.0</v>
      </c>
    </row>
    <row r="96" ht="15.75" customHeight="1">
      <c r="A96" s="9" t="s">
        <v>44</v>
      </c>
      <c r="B96" s="11">
        <v>174.0</v>
      </c>
    </row>
    <row r="97" ht="15.75" customHeight="1">
      <c r="A97" s="9" t="s">
        <v>44</v>
      </c>
      <c r="B97" s="11">
        <v>190.0</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12:H1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13.86"/>
    <col customWidth="1" min="4" max="4" width="19.71"/>
    <col customWidth="1" min="5" max="11" width="11.43"/>
    <col customWidth="1" min="12" max="26" width="10.71"/>
  </cols>
  <sheetData>
    <row r="1" ht="15.7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ht="15.75" customHeight="1">
      <c r="A2" s="75"/>
      <c r="B2" s="76" t="s">
        <v>114</v>
      </c>
      <c r="C2" s="77"/>
      <c r="D2" s="78" t="s">
        <v>115</v>
      </c>
      <c r="E2" s="75"/>
      <c r="F2" s="75"/>
      <c r="G2" s="75"/>
      <c r="H2" s="75"/>
      <c r="I2" s="75"/>
      <c r="J2" s="75"/>
      <c r="K2" s="75"/>
      <c r="L2" s="75"/>
      <c r="M2" s="75"/>
      <c r="N2" s="75"/>
      <c r="O2" s="75"/>
      <c r="P2" s="75"/>
      <c r="Q2" s="75"/>
      <c r="R2" s="75"/>
      <c r="S2" s="75"/>
      <c r="T2" s="75"/>
      <c r="U2" s="75"/>
      <c r="V2" s="75"/>
      <c r="W2" s="75"/>
      <c r="X2" s="75"/>
      <c r="Y2" s="75"/>
      <c r="Z2" s="75"/>
    </row>
    <row r="3" ht="15.75" customHeight="1">
      <c r="A3" s="75"/>
      <c r="B3" s="79" t="s">
        <v>116</v>
      </c>
      <c r="C3" s="79" t="s">
        <v>117</v>
      </c>
      <c r="D3" s="79" t="s">
        <v>118</v>
      </c>
      <c r="E3" s="79" t="s">
        <v>119</v>
      </c>
      <c r="F3" s="79" t="s">
        <v>120</v>
      </c>
      <c r="G3" s="79" t="s">
        <v>121</v>
      </c>
      <c r="H3" s="79" t="s">
        <v>122</v>
      </c>
      <c r="I3" s="79" t="s">
        <v>123</v>
      </c>
      <c r="J3" s="80" t="s">
        <v>124</v>
      </c>
      <c r="K3" s="79" t="s">
        <v>125</v>
      </c>
      <c r="L3" s="75"/>
      <c r="M3" s="75"/>
      <c r="N3" s="75"/>
      <c r="O3" s="75"/>
      <c r="P3" s="75"/>
      <c r="Q3" s="75"/>
      <c r="R3" s="75"/>
      <c r="S3" s="75"/>
      <c r="T3" s="75"/>
      <c r="U3" s="75"/>
      <c r="V3" s="75"/>
      <c r="W3" s="75"/>
      <c r="X3" s="75"/>
      <c r="Y3" s="75"/>
      <c r="Z3" s="75"/>
    </row>
    <row r="4" ht="15.75" customHeight="1">
      <c r="A4" s="75"/>
      <c r="B4" s="81">
        <v>150.0</v>
      </c>
      <c r="C4" s="81">
        <v>250.0</v>
      </c>
      <c r="D4" s="81">
        <v>10.0</v>
      </c>
      <c r="E4" s="82">
        <f t="shared" ref="E4:E9" si="1">(B4+C4)/2</f>
        <v>200</v>
      </c>
      <c r="F4" s="82">
        <f>D4</f>
        <v>10</v>
      </c>
      <c r="G4" s="83">
        <f t="shared" ref="G4:G9" si="2">D4/$D$10</f>
        <v>0.05</v>
      </c>
      <c r="H4" s="84">
        <f>G4</f>
        <v>0.05</v>
      </c>
      <c r="I4" s="82">
        <f t="shared" ref="I4:I9" si="3">C4-B4</f>
        <v>100</v>
      </c>
      <c r="J4" s="85">
        <f t="shared" ref="J4:J9" si="4">D4/I4</f>
        <v>0.1</v>
      </c>
      <c r="K4" s="82">
        <f t="shared" ref="K4:K9" si="5">D4*E4</f>
        <v>2000</v>
      </c>
      <c r="L4" s="75"/>
      <c r="M4" s="75"/>
      <c r="N4" s="75"/>
      <c r="O4" s="75"/>
      <c r="P4" s="75"/>
      <c r="Q4" s="75"/>
      <c r="R4" s="75"/>
      <c r="S4" s="75"/>
      <c r="T4" s="75"/>
      <c r="U4" s="75"/>
      <c r="V4" s="75"/>
      <c r="W4" s="75"/>
      <c r="X4" s="75"/>
      <c r="Y4" s="75"/>
      <c r="Z4" s="75"/>
    </row>
    <row r="5" ht="15.75" customHeight="1">
      <c r="A5" s="75"/>
      <c r="B5" s="81">
        <f t="shared" ref="B5:B9" si="6">C4</f>
        <v>250</v>
      </c>
      <c r="C5" s="81">
        <v>350.0</v>
      </c>
      <c r="D5" s="81">
        <v>25.0</v>
      </c>
      <c r="E5" s="82">
        <f t="shared" si="1"/>
        <v>300</v>
      </c>
      <c r="F5" s="82">
        <f t="shared" ref="F5:F9" si="7">D5+F4</f>
        <v>35</v>
      </c>
      <c r="G5" s="83">
        <f t="shared" si="2"/>
        <v>0.125</v>
      </c>
      <c r="H5" s="83">
        <f t="shared" ref="H5:H9" si="8">G5+H4</f>
        <v>0.175</v>
      </c>
      <c r="I5" s="82">
        <f t="shared" si="3"/>
        <v>100</v>
      </c>
      <c r="J5" s="85">
        <f t="shared" si="4"/>
        <v>0.25</v>
      </c>
      <c r="K5" s="82">
        <f t="shared" si="5"/>
        <v>7500</v>
      </c>
      <c r="L5" s="75"/>
      <c r="M5" s="75"/>
      <c r="N5" s="75"/>
      <c r="O5" s="75"/>
      <c r="P5" s="75"/>
      <c r="Q5" s="75"/>
      <c r="R5" s="75"/>
      <c r="S5" s="75"/>
      <c r="T5" s="75"/>
      <c r="U5" s="75"/>
      <c r="V5" s="75"/>
      <c r="W5" s="75"/>
      <c r="X5" s="75"/>
      <c r="Y5" s="75"/>
      <c r="Z5" s="75"/>
    </row>
    <row r="6" ht="15.75" customHeight="1">
      <c r="A6" s="75"/>
      <c r="B6" s="81">
        <f t="shared" si="6"/>
        <v>350</v>
      </c>
      <c r="C6" s="81">
        <v>450.0</v>
      </c>
      <c r="D6" s="81">
        <v>50.0</v>
      </c>
      <c r="E6" s="82">
        <f t="shared" si="1"/>
        <v>400</v>
      </c>
      <c r="F6" s="82">
        <f t="shared" si="7"/>
        <v>85</v>
      </c>
      <c r="G6" s="83">
        <f t="shared" si="2"/>
        <v>0.25</v>
      </c>
      <c r="H6" s="83">
        <f t="shared" si="8"/>
        <v>0.425</v>
      </c>
      <c r="I6" s="82">
        <f t="shared" si="3"/>
        <v>100</v>
      </c>
      <c r="J6" s="86">
        <f t="shared" si="4"/>
        <v>0.5</v>
      </c>
      <c r="K6" s="82">
        <f t="shared" si="5"/>
        <v>20000</v>
      </c>
      <c r="L6" s="75"/>
      <c r="M6" s="75"/>
      <c r="N6" s="75"/>
      <c r="O6" s="75"/>
      <c r="P6" s="75"/>
      <c r="Q6" s="75"/>
      <c r="R6" s="75"/>
      <c r="S6" s="75"/>
      <c r="T6" s="75"/>
      <c r="U6" s="75"/>
      <c r="V6" s="75"/>
      <c r="W6" s="75"/>
      <c r="X6" s="75"/>
      <c r="Y6" s="75"/>
      <c r="Z6" s="75"/>
    </row>
    <row r="7" ht="15.75" customHeight="1">
      <c r="A7" s="75"/>
      <c r="B7" s="81">
        <f t="shared" si="6"/>
        <v>450</v>
      </c>
      <c r="C7" s="81">
        <v>750.0</v>
      </c>
      <c r="D7" s="81">
        <v>80.0</v>
      </c>
      <c r="E7" s="82">
        <f t="shared" si="1"/>
        <v>600</v>
      </c>
      <c r="F7" s="82">
        <f t="shared" si="7"/>
        <v>165</v>
      </c>
      <c r="G7" s="83">
        <f t="shared" si="2"/>
        <v>0.4</v>
      </c>
      <c r="H7" s="87">
        <f t="shared" si="8"/>
        <v>0.825</v>
      </c>
      <c r="I7" s="82">
        <f t="shared" si="3"/>
        <v>300</v>
      </c>
      <c r="J7" s="85">
        <f t="shared" si="4"/>
        <v>0.2666666667</v>
      </c>
      <c r="K7" s="82">
        <f t="shared" si="5"/>
        <v>48000</v>
      </c>
      <c r="L7" s="75"/>
      <c r="M7" s="75"/>
      <c r="N7" s="75"/>
      <c r="O7" s="75"/>
      <c r="P7" s="75"/>
      <c r="Q7" s="75"/>
      <c r="R7" s="75"/>
      <c r="S7" s="75"/>
      <c r="T7" s="75"/>
      <c r="U7" s="75"/>
      <c r="V7" s="75"/>
      <c r="W7" s="75"/>
      <c r="X7" s="75"/>
      <c r="Y7" s="75"/>
      <c r="Z7" s="75"/>
    </row>
    <row r="8" ht="15.75" customHeight="1">
      <c r="A8" s="75"/>
      <c r="B8" s="81">
        <f t="shared" si="6"/>
        <v>750</v>
      </c>
      <c r="C8" s="81">
        <v>1100.0</v>
      </c>
      <c r="D8" s="81">
        <v>30.0</v>
      </c>
      <c r="E8" s="82">
        <f t="shared" si="1"/>
        <v>925</v>
      </c>
      <c r="F8" s="82">
        <f t="shared" si="7"/>
        <v>195</v>
      </c>
      <c r="G8" s="83">
        <f t="shared" si="2"/>
        <v>0.15</v>
      </c>
      <c r="H8" s="83">
        <f t="shared" si="8"/>
        <v>0.975</v>
      </c>
      <c r="I8" s="82">
        <f t="shared" si="3"/>
        <v>350</v>
      </c>
      <c r="J8" s="85">
        <f t="shared" si="4"/>
        <v>0.08571428571</v>
      </c>
      <c r="K8" s="82">
        <f t="shared" si="5"/>
        <v>27750</v>
      </c>
      <c r="L8" s="75"/>
      <c r="M8" s="75"/>
      <c r="N8" s="75"/>
      <c r="O8" s="75"/>
      <c r="P8" s="75"/>
      <c r="Q8" s="75"/>
      <c r="R8" s="75"/>
      <c r="S8" s="75"/>
      <c r="T8" s="75"/>
      <c r="U8" s="75"/>
      <c r="V8" s="75"/>
      <c r="W8" s="75"/>
      <c r="X8" s="75"/>
      <c r="Y8" s="75"/>
      <c r="Z8" s="75"/>
    </row>
    <row r="9" ht="15.75" customHeight="1">
      <c r="A9" s="75"/>
      <c r="B9" s="81">
        <f t="shared" si="6"/>
        <v>1100</v>
      </c>
      <c r="C9" s="81">
        <v>1500.0</v>
      </c>
      <c r="D9" s="81">
        <v>5.0</v>
      </c>
      <c r="E9" s="82">
        <f t="shared" si="1"/>
        <v>1300</v>
      </c>
      <c r="F9" s="82">
        <f t="shared" si="7"/>
        <v>200</v>
      </c>
      <c r="G9" s="83">
        <f t="shared" si="2"/>
        <v>0.025</v>
      </c>
      <c r="H9" s="83">
        <f t="shared" si="8"/>
        <v>1</v>
      </c>
      <c r="I9" s="82">
        <f t="shared" si="3"/>
        <v>400</v>
      </c>
      <c r="J9" s="85">
        <f t="shared" si="4"/>
        <v>0.0125</v>
      </c>
      <c r="K9" s="82">
        <f t="shared" si="5"/>
        <v>6500</v>
      </c>
      <c r="L9" s="75"/>
      <c r="M9" s="75"/>
      <c r="N9" s="75"/>
      <c r="O9" s="75"/>
      <c r="P9" s="75"/>
      <c r="Q9" s="75"/>
      <c r="R9" s="75"/>
      <c r="S9" s="75"/>
      <c r="T9" s="75"/>
      <c r="U9" s="75"/>
      <c r="V9" s="75"/>
      <c r="W9" s="75"/>
      <c r="X9" s="75"/>
      <c r="Y9" s="75"/>
      <c r="Z9" s="75"/>
    </row>
    <row r="10" ht="15.75" customHeight="1">
      <c r="A10" s="75"/>
      <c r="B10" s="88"/>
      <c r="C10" s="88"/>
      <c r="D10" s="89">
        <f>SUM(D4:D9)</f>
        <v>200</v>
      </c>
      <c r="E10" s="90"/>
      <c r="F10" s="90"/>
      <c r="G10" s="91">
        <f>SUM(G4:G9)</f>
        <v>1</v>
      </c>
      <c r="H10" s="92"/>
      <c r="I10" s="90"/>
      <c r="J10" s="90"/>
      <c r="K10" s="89">
        <f>SUM(K4:K9)</f>
        <v>111750</v>
      </c>
      <c r="L10" s="75"/>
      <c r="M10" s="75"/>
      <c r="N10" s="75"/>
      <c r="O10" s="75"/>
      <c r="P10" s="75"/>
      <c r="Q10" s="75"/>
      <c r="R10" s="75"/>
      <c r="S10" s="75"/>
      <c r="T10" s="75"/>
      <c r="U10" s="75"/>
      <c r="V10" s="75"/>
      <c r="W10" s="75"/>
      <c r="X10" s="75"/>
      <c r="Y10" s="75"/>
      <c r="Z10" s="75"/>
    </row>
    <row r="11" ht="15.75" customHeight="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ht="15.7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ht="15.75" customHeight="1">
      <c r="A13" s="75"/>
      <c r="B13" s="75"/>
      <c r="C13" s="75"/>
      <c r="D13" s="75"/>
      <c r="E13" s="93" t="s">
        <v>126</v>
      </c>
      <c r="F13" s="75"/>
      <c r="G13" s="75"/>
      <c r="H13" s="75"/>
      <c r="I13" s="75"/>
      <c r="J13" s="75"/>
      <c r="K13" s="75"/>
      <c r="L13" s="75"/>
      <c r="M13" s="75"/>
      <c r="N13" s="75"/>
      <c r="O13" s="75"/>
      <c r="P13" s="75"/>
      <c r="Q13" s="75"/>
      <c r="R13" s="75"/>
      <c r="S13" s="75"/>
      <c r="T13" s="75"/>
      <c r="U13" s="75"/>
      <c r="V13" s="75"/>
      <c r="W13" s="75"/>
      <c r="X13" s="75"/>
      <c r="Y13" s="75"/>
      <c r="Z13" s="75"/>
    </row>
    <row r="14" ht="15.75" customHeight="1">
      <c r="A14" s="75"/>
      <c r="B14" s="94"/>
      <c r="C14" s="95" t="s">
        <v>84</v>
      </c>
      <c r="D14" s="96">
        <f>K10/D10</f>
        <v>558.75</v>
      </c>
      <c r="E14" s="97" t="s">
        <v>127</v>
      </c>
      <c r="F14" s="75"/>
      <c r="G14" s="75"/>
      <c r="H14" s="75"/>
      <c r="I14" s="75"/>
      <c r="J14" s="75"/>
      <c r="K14" s="75"/>
      <c r="L14" s="75"/>
      <c r="M14" s="75"/>
      <c r="N14" s="75"/>
      <c r="O14" s="75"/>
      <c r="P14" s="75"/>
      <c r="Q14" s="75"/>
      <c r="R14" s="75"/>
      <c r="S14" s="75"/>
      <c r="T14" s="75"/>
      <c r="U14" s="75"/>
      <c r="V14" s="75"/>
      <c r="W14" s="75"/>
      <c r="X14" s="75"/>
      <c r="Y14" s="75"/>
      <c r="Z14" s="75"/>
    </row>
    <row r="15" ht="15.75" customHeight="1">
      <c r="A15" s="75"/>
      <c r="B15" s="94"/>
      <c r="C15" s="98" t="s">
        <v>77</v>
      </c>
      <c r="D15" s="99">
        <f>B7+(0.5-H6)*I7/G7</f>
        <v>506.25</v>
      </c>
      <c r="E15" s="97" t="s">
        <v>127</v>
      </c>
      <c r="F15" s="75"/>
      <c r="G15" s="75"/>
      <c r="H15" s="75"/>
      <c r="I15" s="75"/>
      <c r="J15" s="75"/>
      <c r="K15" s="75"/>
      <c r="L15" s="75"/>
      <c r="M15" s="75"/>
      <c r="N15" s="75"/>
      <c r="O15" s="75"/>
      <c r="P15" s="75"/>
      <c r="Q15" s="75"/>
      <c r="R15" s="75"/>
      <c r="S15" s="75"/>
      <c r="T15" s="75"/>
      <c r="U15" s="75"/>
      <c r="V15" s="75"/>
      <c r="W15" s="75"/>
      <c r="X15" s="75"/>
      <c r="Y15" s="75"/>
      <c r="Z15" s="75"/>
    </row>
    <row r="16" ht="15.75" customHeight="1">
      <c r="A16" s="75"/>
      <c r="B16" s="94"/>
      <c r="C16" s="100" t="s">
        <v>85</v>
      </c>
      <c r="D16" s="101">
        <f>B6+J7*I6/(J5+J7)</f>
        <v>401.6129032</v>
      </c>
      <c r="E16" s="97" t="s">
        <v>127</v>
      </c>
      <c r="F16" s="75"/>
      <c r="G16" s="75"/>
      <c r="H16" s="75"/>
      <c r="I16" s="75"/>
      <c r="J16" s="75"/>
      <c r="K16" s="75"/>
      <c r="L16" s="75"/>
      <c r="M16" s="75"/>
      <c r="N16" s="75"/>
      <c r="O16" s="75"/>
      <c r="P16" s="75"/>
      <c r="Q16" s="75"/>
      <c r="R16" s="75"/>
      <c r="S16" s="75"/>
      <c r="T16" s="75"/>
      <c r="U16" s="75"/>
      <c r="V16" s="75"/>
      <c r="W16" s="75"/>
      <c r="X16" s="75"/>
      <c r="Y16" s="75"/>
      <c r="Z16" s="75"/>
    </row>
    <row r="17" ht="15.75" customHeight="1">
      <c r="A17" s="75"/>
      <c r="B17" s="94"/>
      <c r="C17" s="102" t="s">
        <v>128</v>
      </c>
      <c r="D17" s="103">
        <f>B4+(0.05-0)*I4/G4</f>
        <v>250</v>
      </c>
      <c r="E17" s="97" t="s">
        <v>127</v>
      </c>
      <c r="F17" s="75"/>
      <c r="G17" s="75"/>
      <c r="H17" s="75"/>
      <c r="I17" s="75"/>
      <c r="J17" s="75"/>
      <c r="K17" s="75"/>
      <c r="L17" s="75"/>
      <c r="M17" s="75"/>
      <c r="N17" s="75"/>
      <c r="O17" s="75"/>
      <c r="P17" s="75"/>
      <c r="Q17" s="75"/>
      <c r="R17" s="75"/>
      <c r="S17" s="75"/>
      <c r="T17" s="75"/>
      <c r="U17" s="75"/>
      <c r="V17" s="75"/>
      <c r="W17" s="75"/>
      <c r="X17" s="75"/>
      <c r="Y17" s="75"/>
      <c r="Z17" s="75"/>
    </row>
    <row r="18" ht="15.75" customHeight="1">
      <c r="A18" s="75"/>
      <c r="B18" s="94"/>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5.75" customHeight="1">
      <c r="A19" s="75"/>
      <c r="B19" s="94"/>
      <c r="C19" s="104"/>
      <c r="D19" s="105"/>
      <c r="E19" s="75"/>
      <c r="F19" s="75"/>
      <c r="G19" s="75"/>
      <c r="H19" s="75"/>
      <c r="I19" s="75"/>
      <c r="J19" s="75"/>
      <c r="K19" s="75"/>
      <c r="L19" s="75"/>
      <c r="M19" s="75"/>
      <c r="N19" s="75"/>
      <c r="O19" s="75"/>
      <c r="P19" s="75"/>
      <c r="Q19" s="75"/>
      <c r="R19" s="75"/>
      <c r="S19" s="75"/>
      <c r="T19" s="75"/>
      <c r="U19" s="75"/>
      <c r="V19" s="75"/>
      <c r="W19" s="75"/>
      <c r="X19" s="75"/>
      <c r="Y19" s="75"/>
      <c r="Z19" s="75"/>
    </row>
    <row r="20" ht="15.75" customHeight="1">
      <c r="A20" s="75"/>
      <c r="B20" s="94"/>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2:C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5.43"/>
    <col customWidth="1" min="3" max="3" width="8.57"/>
    <col customWidth="1" min="4" max="4" width="14.43"/>
    <col customWidth="1" min="5" max="5" width="13.71"/>
    <col customWidth="1" min="6" max="6" width="14.43"/>
    <col customWidth="1" min="7" max="7" width="15.14"/>
    <col customWidth="1" min="8" max="8" width="16.0"/>
    <col customWidth="1" min="9" max="9" width="16.86"/>
    <col customWidth="1" min="10" max="26" width="10.71"/>
  </cols>
  <sheetData>
    <row r="11">
      <c r="A11" s="106"/>
      <c r="B11" s="106"/>
      <c r="C11" s="106"/>
      <c r="D11" s="106"/>
      <c r="E11" s="106"/>
      <c r="F11" s="106"/>
      <c r="G11" s="106"/>
      <c r="H11" s="106"/>
      <c r="I11" s="106"/>
      <c r="J11" s="106"/>
      <c r="K11" s="106"/>
      <c r="L11" s="106"/>
      <c r="M11" s="106"/>
      <c r="N11" s="106"/>
      <c r="O11" s="106"/>
    </row>
    <row r="12">
      <c r="A12" s="106"/>
      <c r="B12" s="106"/>
      <c r="C12" s="106"/>
      <c r="D12" s="48" t="s">
        <v>129</v>
      </c>
      <c r="E12" s="48" t="s">
        <v>130</v>
      </c>
      <c r="F12" s="48" t="s">
        <v>131</v>
      </c>
      <c r="G12" s="48" t="s">
        <v>132</v>
      </c>
      <c r="H12" s="48" t="s">
        <v>133</v>
      </c>
      <c r="I12" s="48" t="s">
        <v>134</v>
      </c>
      <c r="J12" s="48" t="s">
        <v>135</v>
      </c>
      <c r="K12" s="48" t="s">
        <v>72</v>
      </c>
      <c r="L12" s="106"/>
    </row>
    <row r="13">
      <c r="A13" s="106"/>
      <c r="B13" s="106"/>
      <c r="C13" s="106"/>
      <c r="D13" s="107">
        <f>B14</f>
        <v>0</v>
      </c>
      <c r="E13" s="107">
        <f t="shared" ref="E13:E22" si="1">D13+$B$19</f>
        <v>7</v>
      </c>
      <c r="F13" s="50">
        <f t="shared" ref="F13:F22" si="2">(D13+E13)/2</f>
        <v>3.5</v>
      </c>
      <c r="G13" s="50">
        <f t="array" ref="G13:G22">FREQUENCY(Horasred,E13:E21)</f>
        <v>62</v>
      </c>
      <c r="H13" s="108">
        <f t="shared" ref="H13:H22" si="3">G13/$G$23</f>
        <v>0.4558823529</v>
      </c>
      <c r="I13" s="50">
        <f>G13</f>
        <v>62</v>
      </c>
      <c r="J13" s="108">
        <f t="shared" ref="J13:J22" si="4">I13/$I$22</f>
        <v>0.4558823529</v>
      </c>
      <c r="K13" s="50">
        <f t="shared" ref="K13:K22" si="5">F13*G13</f>
        <v>217</v>
      </c>
      <c r="L13" s="106"/>
    </row>
    <row r="14">
      <c r="A14" s="56" t="s">
        <v>100</v>
      </c>
      <c r="B14" s="56">
        <f>MIN(Horasred)</f>
        <v>0</v>
      </c>
      <c r="C14" s="106"/>
      <c r="D14" s="107">
        <f t="shared" ref="D14:D22" si="6">E13</f>
        <v>7</v>
      </c>
      <c r="E14" s="107">
        <f t="shared" si="1"/>
        <v>14</v>
      </c>
      <c r="F14" s="50">
        <f t="shared" si="2"/>
        <v>10.5</v>
      </c>
      <c r="G14" s="50">
        <v>34.0</v>
      </c>
      <c r="H14" s="108">
        <f t="shared" si="3"/>
        <v>0.25</v>
      </c>
      <c r="I14" s="50">
        <f t="shared" ref="I14:I22" si="7">I13+G14</f>
        <v>96</v>
      </c>
      <c r="J14" s="108">
        <f t="shared" si="4"/>
        <v>0.7058823529</v>
      </c>
      <c r="K14" s="50">
        <f t="shared" si="5"/>
        <v>357</v>
      </c>
      <c r="L14" s="106"/>
    </row>
    <row r="15">
      <c r="A15" s="56" t="s">
        <v>101</v>
      </c>
      <c r="B15" s="56">
        <f>MAX(Horasred)</f>
        <v>70</v>
      </c>
      <c r="C15" s="106"/>
      <c r="D15" s="107">
        <f t="shared" si="6"/>
        <v>14</v>
      </c>
      <c r="E15" s="107">
        <f t="shared" si="1"/>
        <v>21</v>
      </c>
      <c r="F15" s="50">
        <f t="shared" si="2"/>
        <v>17.5</v>
      </c>
      <c r="G15" s="50">
        <v>13.0</v>
      </c>
      <c r="H15" s="108">
        <f t="shared" si="3"/>
        <v>0.09558823529</v>
      </c>
      <c r="I15" s="50">
        <f t="shared" si="7"/>
        <v>109</v>
      </c>
      <c r="J15" s="108">
        <f t="shared" si="4"/>
        <v>0.8014705882</v>
      </c>
      <c r="K15" s="50">
        <f t="shared" si="5"/>
        <v>227.5</v>
      </c>
      <c r="L15" s="106"/>
    </row>
    <row r="16">
      <c r="A16" s="56" t="s">
        <v>136</v>
      </c>
      <c r="B16" s="56">
        <f>COUNT(Horasred)</f>
        <v>136</v>
      </c>
      <c r="C16" s="106"/>
      <c r="D16" s="107">
        <f t="shared" si="6"/>
        <v>21</v>
      </c>
      <c r="E16" s="107">
        <f t="shared" si="1"/>
        <v>28</v>
      </c>
      <c r="F16" s="50">
        <f t="shared" si="2"/>
        <v>24.5</v>
      </c>
      <c r="G16" s="50">
        <v>2.0</v>
      </c>
      <c r="H16" s="108">
        <f t="shared" si="3"/>
        <v>0.01470588235</v>
      </c>
      <c r="I16" s="50">
        <f t="shared" si="7"/>
        <v>111</v>
      </c>
      <c r="J16" s="108">
        <f t="shared" si="4"/>
        <v>0.8161764706</v>
      </c>
      <c r="K16" s="50">
        <f t="shared" si="5"/>
        <v>49</v>
      </c>
      <c r="L16" s="106"/>
    </row>
    <row r="17">
      <c r="A17" s="56"/>
      <c r="B17" s="56"/>
      <c r="C17" s="106"/>
      <c r="D17" s="107">
        <f t="shared" si="6"/>
        <v>28</v>
      </c>
      <c r="E17" s="107">
        <f t="shared" si="1"/>
        <v>35</v>
      </c>
      <c r="F17" s="50">
        <f t="shared" si="2"/>
        <v>31.5</v>
      </c>
      <c r="G17" s="50">
        <v>11.0</v>
      </c>
      <c r="H17" s="108">
        <f t="shared" si="3"/>
        <v>0.08088235294</v>
      </c>
      <c r="I17" s="50">
        <f t="shared" si="7"/>
        <v>122</v>
      </c>
      <c r="J17" s="108">
        <f t="shared" si="4"/>
        <v>0.8970588235</v>
      </c>
      <c r="K17" s="50">
        <f t="shared" si="5"/>
        <v>346.5</v>
      </c>
      <c r="L17" s="106"/>
    </row>
    <row r="18">
      <c r="A18" s="56" t="s">
        <v>137</v>
      </c>
      <c r="B18" s="56">
        <v>10.0</v>
      </c>
      <c r="C18" s="106"/>
      <c r="D18" s="107">
        <f t="shared" si="6"/>
        <v>35</v>
      </c>
      <c r="E18" s="107">
        <f t="shared" si="1"/>
        <v>42</v>
      </c>
      <c r="F18" s="50">
        <f t="shared" si="2"/>
        <v>38.5</v>
      </c>
      <c r="G18" s="50">
        <v>0.0</v>
      </c>
      <c r="H18" s="108">
        <f t="shared" si="3"/>
        <v>0</v>
      </c>
      <c r="I18" s="50">
        <f t="shared" si="7"/>
        <v>122</v>
      </c>
      <c r="J18" s="108">
        <f t="shared" si="4"/>
        <v>0.8970588235</v>
      </c>
      <c r="K18" s="50">
        <f t="shared" si="5"/>
        <v>0</v>
      </c>
      <c r="L18" s="106"/>
    </row>
    <row r="19">
      <c r="A19" s="56" t="s">
        <v>138</v>
      </c>
      <c r="B19" s="56">
        <v>7.0</v>
      </c>
      <c r="C19" s="106"/>
      <c r="D19" s="107">
        <f t="shared" si="6"/>
        <v>42</v>
      </c>
      <c r="E19" s="107">
        <f t="shared" si="1"/>
        <v>49</v>
      </c>
      <c r="F19" s="50">
        <f t="shared" si="2"/>
        <v>45.5</v>
      </c>
      <c r="G19" s="50">
        <v>0.0</v>
      </c>
      <c r="H19" s="108">
        <f t="shared" si="3"/>
        <v>0</v>
      </c>
      <c r="I19" s="50">
        <f t="shared" si="7"/>
        <v>122</v>
      </c>
      <c r="J19" s="108">
        <f t="shared" si="4"/>
        <v>0.8970588235</v>
      </c>
      <c r="K19" s="50">
        <f t="shared" si="5"/>
        <v>0</v>
      </c>
      <c r="L19" s="106"/>
    </row>
    <row r="20">
      <c r="A20" s="106"/>
      <c r="B20" s="106"/>
      <c r="C20" s="106"/>
      <c r="D20" s="107">
        <f t="shared" si="6"/>
        <v>49</v>
      </c>
      <c r="E20" s="107">
        <f t="shared" si="1"/>
        <v>56</v>
      </c>
      <c r="F20" s="50">
        <f t="shared" si="2"/>
        <v>52.5</v>
      </c>
      <c r="G20" s="50">
        <v>3.0</v>
      </c>
      <c r="H20" s="108">
        <f t="shared" si="3"/>
        <v>0.02205882353</v>
      </c>
      <c r="I20" s="50">
        <f t="shared" si="7"/>
        <v>125</v>
      </c>
      <c r="J20" s="108">
        <f t="shared" si="4"/>
        <v>0.9191176471</v>
      </c>
      <c r="K20" s="50">
        <f t="shared" si="5"/>
        <v>157.5</v>
      </c>
      <c r="L20" s="106"/>
    </row>
    <row r="21" ht="15.75" customHeight="1">
      <c r="A21" s="106"/>
      <c r="B21" s="106"/>
      <c r="C21" s="106"/>
      <c r="D21" s="107">
        <f t="shared" si="6"/>
        <v>56</v>
      </c>
      <c r="E21" s="107">
        <f t="shared" si="1"/>
        <v>63</v>
      </c>
      <c r="F21" s="50">
        <f t="shared" si="2"/>
        <v>59.5</v>
      </c>
      <c r="G21" s="50">
        <v>1.0</v>
      </c>
      <c r="H21" s="108">
        <f t="shared" si="3"/>
        <v>0.007352941176</v>
      </c>
      <c r="I21" s="50">
        <f t="shared" si="7"/>
        <v>126</v>
      </c>
      <c r="J21" s="108">
        <f t="shared" si="4"/>
        <v>0.9264705882</v>
      </c>
      <c r="K21" s="50">
        <f t="shared" si="5"/>
        <v>59.5</v>
      </c>
      <c r="L21" s="106"/>
    </row>
    <row r="22" ht="15.75" customHeight="1">
      <c r="A22" s="106"/>
      <c r="B22" s="106"/>
      <c r="C22" s="106"/>
      <c r="D22" s="107">
        <f t="shared" si="6"/>
        <v>63</v>
      </c>
      <c r="E22" s="107">
        <f t="shared" si="1"/>
        <v>70</v>
      </c>
      <c r="F22" s="50">
        <f t="shared" si="2"/>
        <v>66.5</v>
      </c>
      <c r="G22" s="50">
        <v>10.0</v>
      </c>
      <c r="H22" s="108">
        <f t="shared" si="3"/>
        <v>0.07352941176</v>
      </c>
      <c r="I22" s="50">
        <f t="shared" si="7"/>
        <v>136</v>
      </c>
      <c r="J22" s="108">
        <f t="shared" si="4"/>
        <v>1</v>
      </c>
      <c r="K22" s="50">
        <f t="shared" si="5"/>
        <v>665</v>
      </c>
      <c r="L22" s="106"/>
    </row>
    <row r="23" ht="15.75" customHeight="1">
      <c r="A23" s="106"/>
      <c r="B23" s="106"/>
      <c r="C23" s="106"/>
      <c r="D23" s="60" t="s">
        <v>106</v>
      </c>
      <c r="E23" s="41"/>
      <c r="F23" s="61"/>
      <c r="G23" s="61">
        <f t="shared" ref="G23:H23" si="8">SUM(G13:G22)</f>
        <v>136</v>
      </c>
      <c r="H23" s="109">
        <f t="shared" si="8"/>
        <v>1</v>
      </c>
      <c r="I23" s="61"/>
      <c r="J23" s="61"/>
      <c r="K23" s="61">
        <f>SUM(K13:K22)</f>
        <v>2079</v>
      </c>
      <c r="L23" s="106"/>
    </row>
    <row r="24" ht="15.75" customHeight="1">
      <c r="D24" s="110" t="s">
        <v>139</v>
      </c>
      <c r="E24" s="41"/>
      <c r="F24" s="111"/>
      <c r="G24" s="111"/>
      <c r="H24" s="111"/>
      <c r="I24" s="111"/>
      <c r="J24" s="111"/>
      <c r="K24" s="112">
        <f>K23/G23</f>
        <v>15.28676471</v>
      </c>
    </row>
    <row r="25" ht="15.75" customHeight="1"/>
    <row r="26" ht="15.75" customHeight="1"/>
    <row r="27" ht="15.75" customHeight="1"/>
    <row r="28" ht="15.75" customHeight="1">
      <c r="B28" s="32"/>
      <c r="C28" s="32"/>
      <c r="D28" s="32"/>
      <c r="G28" s="113"/>
    </row>
    <row r="29" ht="15.75" customHeight="1">
      <c r="B29" s="114"/>
      <c r="C29" s="32"/>
      <c r="D29" s="115"/>
      <c r="E29" s="116" t="s">
        <v>140</v>
      </c>
      <c r="F29" s="117" t="s">
        <v>141</v>
      </c>
      <c r="G29" s="113"/>
    </row>
    <row r="30" ht="15.75" customHeight="1">
      <c r="B30" s="118"/>
      <c r="C30" s="119"/>
      <c r="D30" s="120" t="s">
        <v>84</v>
      </c>
      <c r="E30" s="121">
        <f>AVERAGE(Horasred)</f>
        <v>15.59264706</v>
      </c>
      <c r="F30" s="122" t="s">
        <v>142</v>
      </c>
      <c r="G30" s="113"/>
    </row>
    <row r="31" ht="15.75" customHeight="1">
      <c r="B31" s="118"/>
      <c r="C31" s="123"/>
      <c r="D31" s="120" t="s">
        <v>77</v>
      </c>
      <c r="E31" s="121">
        <f>MEDIAN(Horasred)</f>
        <v>10</v>
      </c>
      <c r="F31" s="122" t="s">
        <v>142</v>
      </c>
      <c r="G31" s="113"/>
    </row>
    <row r="32" ht="15.75" customHeight="1">
      <c r="B32" s="124" t="s">
        <v>143</v>
      </c>
      <c r="C32" s="125"/>
      <c r="D32" s="120" t="s">
        <v>85</v>
      </c>
      <c r="E32" s="121">
        <f>F13</f>
        <v>3.5</v>
      </c>
      <c r="F32" s="122" t="s">
        <v>142</v>
      </c>
      <c r="G32" s="113"/>
    </row>
    <row r="33" ht="15.75" customHeight="1">
      <c r="B33" s="118"/>
      <c r="C33" s="123"/>
      <c r="D33" s="120" t="s">
        <v>144</v>
      </c>
      <c r="E33" s="121">
        <f>_xlfn.PERCENTILE.EXC(Horasred,0.1)</f>
        <v>1</v>
      </c>
      <c r="F33" s="122" t="s">
        <v>142</v>
      </c>
      <c r="G33" s="113"/>
    </row>
    <row r="34" ht="15.75" customHeight="1">
      <c r="B34" s="126"/>
      <c r="C34" s="127"/>
      <c r="D34" s="120" t="s">
        <v>113</v>
      </c>
      <c r="E34" s="121">
        <f>_xlfn.PERCENTILE.EXC(Horasred,0.9)</f>
        <v>50</v>
      </c>
      <c r="F34" s="122" t="s">
        <v>142</v>
      </c>
      <c r="G34" s="113"/>
    </row>
    <row r="35" ht="15.75" customHeight="1">
      <c r="D35" s="45"/>
      <c r="G35" s="128"/>
    </row>
    <row r="36" ht="15.75" customHeight="1">
      <c r="B36" s="128"/>
      <c r="C36" s="128"/>
      <c r="D36" s="128"/>
      <c r="E36" s="128"/>
      <c r="F36" s="128"/>
      <c r="G36" s="128"/>
      <c r="H36" s="128"/>
    </row>
    <row r="37" ht="15.75" customHeight="1">
      <c r="B37" s="128"/>
      <c r="C37" s="128"/>
      <c r="D37" s="128"/>
      <c r="E37" s="128"/>
      <c r="F37" s="128"/>
      <c r="G37" s="128"/>
      <c r="H37" s="128"/>
    </row>
    <row r="38" ht="15.75" customHeight="1">
      <c r="B38" s="128"/>
      <c r="C38" s="128"/>
      <c r="D38" s="128"/>
      <c r="E38" s="128"/>
      <c r="F38" s="128"/>
      <c r="G38" s="128"/>
      <c r="H38" s="128"/>
      <c r="I38" s="129"/>
      <c r="J38" s="130"/>
    </row>
    <row r="39" ht="15.75" customHeight="1">
      <c r="B39" s="128"/>
      <c r="C39" s="128"/>
      <c r="D39" s="128"/>
      <c r="E39" s="128"/>
      <c r="F39" s="128"/>
      <c r="G39" s="128"/>
      <c r="H39" s="128"/>
      <c r="I39" s="32"/>
    </row>
    <row r="40" ht="15.75" customHeight="1">
      <c r="B40" s="128"/>
      <c r="C40" s="128"/>
      <c r="D40" s="128"/>
      <c r="E40" s="128"/>
      <c r="F40" s="128"/>
      <c r="G40" s="128"/>
      <c r="H40" s="128"/>
    </row>
    <row r="41" ht="15.75" customHeight="1">
      <c r="B41" s="128"/>
      <c r="C41" s="128"/>
      <c r="D41" s="128"/>
      <c r="E41" s="128"/>
      <c r="F41" s="128"/>
      <c r="G41" s="128"/>
      <c r="H41" s="128"/>
    </row>
    <row r="42" ht="15.75" customHeight="1">
      <c r="B42" s="128"/>
      <c r="C42" s="128"/>
      <c r="D42" s="128"/>
      <c r="E42" s="128"/>
      <c r="F42" s="128"/>
      <c r="G42" s="128"/>
      <c r="H42" s="128"/>
    </row>
    <row r="43" ht="15.75" customHeight="1">
      <c r="B43" s="128"/>
      <c r="C43" s="128"/>
      <c r="D43" s="128"/>
      <c r="E43" s="128"/>
      <c r="F43" s="128"/>
      <c r="G43" s="128"/>
      <c r="H43" s="128"/>
    </row>
    <row r="44" ht="15.75" customHeight="1">
      <c r="B44" s="128"/>
      <c r="C44" s="128"/>
      <c r="D44" s="128"/>
      <c r="E44" s="128"/>
      <c r="F44" s="128"/>
      <c r="G44" s="128"/>
      <c r="H44" s="128"/>
    </row>
    <row r="45" ht="15.75" customHeight="1">
      <c r="B45" s="128"/>
      <c r="C45" s="128"/>
      <c r="D45" s="128"/>
      <c r="E45" s="128"/>
      <c r="F45" s="128"/>
      <c r="G45" s="128"/>
      <c r="H45" s="128"/>
    </row>
    <row r="46" ht="15.75" customHeight="1">
      <c r="B46" s="128"/>
      <c r="C46" s="128"/>
      <c r="D46" s="128"/>
      <c r="E46" s="128"/>
      <c r="F46" s="128"/>
      <c r="G46" s="128"/>
      <c r="H46" s="128"/>
    </row>
    <row r="47" ht="15.75" customHeight="1">
      <c r="B47" s="128"/>
      <c r="C47" s="128"/>
      <c r="D47" s="128"/>
      <c r="E47" s="128"/>
      <c r="F47" s="128"/>
      <c r="G47" s="128"/>
      <c r="H47" s="128"/>
    </row>
    <row r="48" ht="15.75" customHeight="1">
      <c r="B48" s="128"/>
      <c r="C48" s="128"/>
      <c r="D48" s="128"/>
      <c r="E48" s="128"/>
      <c r="F48" s="128"/>
      <c r="G48" s="128"/>
      <c r="H48" s="128"/>
    </row>
    <row r="49" ht="15.75" customHeight="1">
      <c r="B49" s="128"/>
      <c r="C49" s="128"/>
      <c r="D49" s="128"/>
      <c r="E49" s="128"/>
      <c r="F49" s="128"/>
      <c r="G49" s="128"/>
      <c r="H49" s="128"/>
    </row>
    <row r="50" ht="15.75" customHeight="1">
      <c r="B50" s="128"/>
      <c r="C50" s="128"/>
      <c r="D50" s="128"/>
      <c r="E50" s="128"/>
      <c r="F50" s="128"/>
      <c r="G50" s="128"/>
      <c r="H50" s="128"/>
    </row>
    <row r="51" ht="15.75" customHeight="1">
      <c r="B51" s="128"/>
      <c r="C51" s="128"/>
      <c r="D51" s="128"/>
      <c r="E51" s="128"/>
      <c r="F51" s="128"/>
      <c r="G51" s="128"/>
      <c r="H51" s="128"/>
    </row>
    <row r="52" ht="15.75" customHeight="1">
      <c r="B52" s="128"/>
      <c r="C52" s="128"/>
      <c r="D52" s="128"/>
      <c r="E52" s="128"/>
      <c r="F52" s="128"/>
      <c r="G52" s="128"/>
      <c r="H52" s="128"/>
    </row>
    <row r="53" ht="15.75" customHeight="1">
      <c r="B53" s="131"/>
      <c r="C53" s="131"/>
      <c r="D53" s="131"/>
      <c r="E53" s="128"/>
      <c r="F53" s="128"/>
      <c r="G53" s="128"/>
      <c r="H53" s="128"/>
    </row>
    <row r="54" ht="15.75" customHeight="1">
      <c r="C54" s="131"/>
      <c r="D54" s="128"/>
      <c r="E54" s="128"/>
      <c r="F54" s="128"/>
      <c r="G54" s="128"/>
      <c r="H54" s="128"/>
    </row>
    <row r="55" ht="15.75" customHeight="1">
      <c r="C55" s="131"/>
      <c r="D55" s="128"/>
      <c r="E55" s="128"/>
      <c r="F55" s="128"/>
      <c r="G55" s="128"/>
      <c r="H55" s="128"/>
    </row>
    <row r="56" ht="15.75" customHeight="1">
      <c r="E56" s="128"/>
      <c r="F56" s="128"/>
      <c r="G56" s="128"/>
      <c r="H56" s="128"/>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F66" s="32"/>
    </row>
    <row r="67" ht="15.75" customHeight="1"/>
    <row r="68" ht="15.75" customHeight="1"/>
    <row r="69" ht="15.75" customHeight="1"/>
    <row r="70" ht="15.75" customHeight="1">
      <c r="D70" s="32"/>
      <c r="E70" s="32"/>
      <c r="F70" s="32"/>
    </row>
    <row r="71" ht="15.75" customHeight="1"/>
    <row r="72" ht="15.75" customHeight="1"/>
    <row r="73" ht="15.75" customHeight="1"/>
    <row r="74" ht="15.75" customHeight="1"/>
    <row r="75" ht="15.75" customHeight="1"/>
    <row r="76" ht="15.75" customHeight="1"/>
    <row r="77" ht="15.75" customHeight="1"/>
    <row r="78" ht="15.75" customHeight="1"/>
    <row r="79" ht="15.75" customHeight="1">
      <c r="F79" s="32"/>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3:E23"/>
    <mergeCell ref="D24:E24"/>
    <mergeCell ref="B32:C3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71"/>
    <col customWidth="1" min="3" max="3" width="26.86"/>
    <col customWidth="1" min="4" max="26" width="10.71"/>
  </cols>
  <sheetData>
    <row r="15">
      <c r="B15" s="132" t="s">
        <v>145</v>
      </c>
      <c r="C15" s="133" t="s">
        <v>146</v>
      </c>
    </row>
    <row r="16">
      <c r="B16" s="134" t="s">
        <v>147</v>
      </c>
      <c r="C16" s="135" t="s">
        <v>148</v>
      </c>
      <c r="D16" s="136" t="s">
        <v>149</v>
      </c>
      <c r="E16" s="136" t="s">
        <v>150</v>
      </c>
    </row>
    <row r="17">
      <c r="B17" s="137">
        <v>1.0</v>
      </c>
      <c r="C17" s="138">
        <v>25.0</v>
      </c>
      <c r="D17" s="139">
        <f t="shared" ref="D17:D22" si="1">C17</f>
        <v>25</v>
      </c>
      <c r="E17" s="139">
        <f t="shared" ref="E17:E22" si="2">B17*C17</f>
        <v>25</v>
      </c>
    </row>
    <row r="18">
      <c r="B18" s="137">
        <v>2.0</v>
      </c>
      <c r="C18" s="138">
        <v>30.6</v>
      </c>
      <c r="D18" s="139">
        <f t="shared" si="1"/>
        <v>30.6</v>
      </c>
      <c r="E18" s="139">
        <f t="shared" si="2"/>
        <v>61.2</v>
      </c>
    </row>
    <row r="19">
      <c r="B19" s="137">
        <v>3.0</v>
      </c>
      <c r="C19" s="138">
        <v>21.0</v>
      </c>
      <c r="D19" s="139">
        <f t="shared" si="1"/>
        <v>21</v>
      </c>
      <c r="E19" s="139">
        <f t="shared" si="2"/>
        <v>63</v>
      </c>
    </row>
    <row r="20">
      <c r="B20" s="137">
        <v>4.0</v>
      </c>
      <c r="C20" s="138">
        <v>17.6</v>
      </c>
      <c r="D20" s="139">
        <f t="shared" si="1"/>
        <v>17.6</v>
      </c>
      <c r="E20" s="139">
        <f t="shared" si="2"/>
        <v>70.4</v>
      </c>
    </row>
    <row r="21" ht="15.75" customHeight="1">
      <c r="B21" s="137">
        <v>5.0</v>
      </c>
      <c r="C21" s="138">
        <v>4.0</v>
      </c>
      <c r="D21" s="139">
        <f t="shared" si="1"/>
        <v>4</v>
      </c>
      <c r="E21" s="139">
        <f t="shared" si="2"/>
        <v>20</v>
      </c>
    </row>
    <row r="22" ht="15.75" customHeight="1">
      <c r="B22" s="137">
        <v>6.0</v>
      </c>
      <c r="C22" s="138">
        <v>1.8</v>
      </c>
      <c r="D22" s="139">
        <f t="shared" si="1"/>
        <v>1.8</v>
      </c>
      <c r="E22" s="139">
        <f t="shared" si="2"/>
        <v>10.8</v>
      </c>
    </row>
    <row r="23" ht="15.75" customHeight="1">
      <c r="E23" s="140">
        <f>SUM(E17:E22)</f>
        <v>250.4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3.0"/>
    <col customWidth="1" min="3" max="3" width="19.29"/>
    <col customWidth="1" min="4" max="4" width="17.57"/>
    <col customWidth="1" min="5" max="5" width="20.57"/>
    <col customWidth="1" min="6" max="7" width="11.43"/>
    <col customWidth="1" min="8" max="8" width="11.86"/>
    <col customWidth="1" min="9" max="20" width="11.43"/>
    <col customWidth="1" min="21" max="26" width="10.71"/>
  </cols>
  <sheetData>
    <row r="1" ht="15.75" customHeight="1">
      <c r="A1" s="141"/>
      <c r="B1" s="141"/>
      <c r="C1" s="141"/>
      <c r="D1" s="141"/>
      <c r="E1" s="141"/>
      <c r="F1" s="141"/>
      <c r="G1" s="141"/>
      <c r="H1" s="141"/>
      <c r="I1" s="141"/>
      <c r="J1" s="141"/>
      <c r="K1" s="141"/>
      <c r="L1" s="141"/>
      <c r="M1" s="141"/>
      <c r="N1" s="141"/>
      <c r="O1" s="141"/>
      <c r="P1" s="141"/>
      <c r="Q1" s="141"/>
      <c r="R1" s="141"/>
      <c r="S1" s="141"/>
      <c r="T1" s="141"/>
      <c r="U1" s="141"/>
      <c r="V1" s="141"/>
      <c r="W1" s="141"/>
      <c r="X1" s="141"/>
      <c r="Y1" s="141"/>
      <c r="Z1" s="141"/>
    </row>
    <row r="2" ht="15.75" customHeight="1">
      <c r="A2" s="141"/>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ht="15.75" customHeight="1">
      <c r="A3" s="141"/>
      <c r="B3" s="141"/>
      <c r="C3" s="141"/>
      <c r="D3" s="141"/>
      <c r="E3" s="141"/>
      <c r="F3" s="141"/>
      <c r="G3" s="141"/>
      <c r="H3" s="141"/>
      <c r="I3" s="141"/>
      <c r="J3" s="141"/>
      <c r="K3" s="141"/>
      <c r="L3" s="141"/>
      <c r="M3" s="141"/>
      <c r="N3" s="141"/>
      <c r="O3" s="141"/>
      <c r="P3" s="141"/>
      <c r="Q3" s="141"/>
      <c r="R3" s="141"/>
      <c r="S3" s="141"/>
      <c r="T3" s="141"/>
      <c r="U3" s="141"/>
      <c r="V3" s="141"/>
      <c r="W3" s="141"/>
      <c r="X3" s="141"/>
      <c r="Y3" s="141"/>
      <c r="Z3" s="141"/>
    </row>
    <row r="4" ht="15.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row>
    <row r="5" ht="15.75" customHeight="1">
      <c r="A5" s="141"/>
      <c r="B5" s="141"/>
      <c r="C5" s="141"/>
      <c r="D5" s="141"/>
      <c r="E5" s="141"/>
      <c r="F5" s="141"/>
      <c r="G5" s="141"/>
      <c r="H5" s="141"/>
      <c r="I5" s="141"/>
      <c r="J5" s="141"/>
      <c r="K5" s="141"/>
      <c r="L5" s="141"/>
      <c r="M5" s="141"/>
      <c r="N5" s="141"/>
      <c r="O5" s="141"/>
      <c r="P5" s="141"/>
      <c r="Q5" s="141"/>
      <c r="R5" s="141"/>
      <c r="S5" s="141"/>
      <c r="T5" s="141"/>
      <c r="U5" s="141"/>
      <c r="V5" s="141"/>
      <c r="W5" s="141"/>
      <c r="X5" s="141"/>
      <c r="Y5" s="141"/>
      <c r="Z5" s="141"/>
    </row>
    <row r="6" ht="15.75" customHeight="1">
      <c r="A6" s="141"/>
      <c r="B6" s="141"/>
      <c r="C6" s="141"/>
      <c r="D6" s="141"/>
      <c r="E6" s="141"/>
      <c r="F6" s="141"/>
      <c r="G6" s="141"/>
      <c r="H6" s="141"/>
      <c r="I6" s="141"/>
      <c r="J6" s="141"/>
      <c r="K6" s="141"/>
      <c r="L6" s="141"/>
      <c r="M6" s="141"/>
      <c r="N6" s="141"/>
      <c r="O6" s="141"/>
      <c r="P6" s="141"/>
      <c r="Q6" s="141"/>
      <c r="R6" s="141"/>
      <c r="S6" s="141"/>
      <c r="T6" s="141"/>
      <c r="U6" s="141"/>
      <c r="V6" s="141"/>
      <c r="W6" s="141"/>
      <c r="X6" s="141"/>
      <c r="Y6" s="141"/>
      <c r="Z6" s="141"/>
    </row>
    <row r="7" ht="15.75" customHeight="1">
      <c r="A7" s="141"/>
      <c r="B7" s="141"/>
      <c r="C7" s="141"/>
      <c r="D7" s="141"/>
      <c r="E7" s="141"/>
      <c r="F7" s="141"/>
      <c r="G7" s="141"/>
      <c r="H7" s="141"/>
      <c r="I7" s="141"/>
      <c r="J7" s="141"/>
      <c r="K7" s="141"/>
      <c r="L7" s="141"/>
      <c r="M7" s="141"/>
      <c r="N7" s="141"/>
      <c r="O7" s="141"/>
      <c r="P7" s="141"/>
      <c r="Q7" s="141"/>
      <c r="R7" s="141"/>
      <c r="S7" s="141"/>
      <c r="T7" s="141"/>
      <c r="U7" s="141"/>
      <c r="V7" s="141"/>
      <c r="W7" s="141"/>
      <c r="X7" s="141"/>
      <c r="Y7" s="141"/>
      <c r="Z7" s="141"/>
    </row>
    <row r="8" ht="15.75" customHeight="1">
      <c r="A8" s="141"/>
      <c r="B8" s="141"/>
      <c r="C8" s="141"/>
      <c r="D8" s="141"/>
      <c r="E8" s="141"/>
      <c r="F8" s="141"/>
      <c r="G8" s="141"/>
      <c r="H8" s="141"/>
      <c r="I8" s="141"/>
      <c r="J8" s="141"/>
      <c r="K8" s="141"/>
      <c r="L8" s="141"/>
      <c r="M8" s="141"/>
      <c r="N8" s="141"/>
      <c r="O8" s="141"/>
      <c r="P8" s="141"/>
      <c r="Q8" s="141"/>
      <c r="R8" s="141"/>
      <c r="S8" s="141"/>
      <c r="T8" s="141"/>
      <c r="U8" s="141"/>
      <c r="V8" s="141"/>
      <c r="W8" s="141"/>
      <c r="X8" s="141"/>
      <c r="Y8" s="141"/>
      <c r="Z8" s="141"/>
    </row>
    <row r="9" ht="19.5" customHeight="1">
      <c r="A9" s="141"/>
      <c r="B9" s="142" t="s">
        <v>151</v>
      </c>
      <c r="C9" s="143" t="s">
        <v>87</v>
      </c>
      <c r="D9" s="143" t="s">
        <v>88</v>
      </c>
      <c r="E9" s="142" t="s">
        <v>152</v>
      </c>
      <c r="F9" s="144" t="s">
        <v>89</v>
      </c>
      <c r="G9" s="144" t="s">
        <v>96</v>
      </c>
      <c r="H9" s="144" t="s">
        <v>153</v>
      </c>
      <c r="I9" s="144" t="s">
        <v>72</v>
      </c>
      <c r="J9" s="144" t="s">
        <v>154</v>
      </c>
      <c r="K9" s="144" t="s">
        <v>155</v>
      </c>
      <c r="L9" s="145"/>
      <c r="M9" s="145"/>
      <c r="N9" s="145"/>
      <c r="O9" s="141"/>
      <c r="P9" s="141"/>
      <c r="Q9" s="141"/>
      <c r="R9" s="141"/>
      <c r="S9" s="141"/>
      <c r="T9" s="141"/>
      <c r="U9" s="141"/>
      <c r="V9" s="141"/>
      <c r="W9" s="141"/>
      <c r="X9" s="141"/>
      <c r="Y9" s="141"/>
      <c r="Z9" s="141"/>
    </row>
    <row r="10" ht="15.75" customHeight="1">
      <c r="A10" s="141"/>
      <c r="B10" s="146" t="s">
        <v>156</v>
      </c>
      <c r="C10" s="147">
        <v>0.0</v>
      </c>
      <c r="D10" s="147">
        <f t="shared" ref="D10:D13" si="1">C11</f>
        <v>600</v>
      </c>
      <c r="E10" s="146">
        <v>10.0</v>
      </c>
      <c r="F10" s="148">
        <f t="shared" ref="F10:F14" si="2">(C10+D10)/2</f>
        <v>300</v>
      </c>
      <c r="G10" s="148">
        <f t="shared" ref="G10:G14" si="3">D10-C10</f>
        <v>600</v>
      </c>
      <c r="H10" s="149">
        <f t="shared" ref="H10:H14" si="4">E10/G10</f>
        <v>0.01666666667</v>
      </c>
      <c r="I10" s="148">
        <f t="shared" ref="I10:I14" si="5">F10*E10</f>
        <v>3000</v>
      </c>
      <c r="J10" s="148">
        <f>E10</f>
        <v>10</v>
      </c>
      <c r="K10" s="150">
        <f t="shared" ref="K10:K14" si="6">J10/$J$14</f>
        <v>0.1333333333</v>
      </c>
      <c r="L10" s="141"/>
      <c r="M10" s="141"/>
      <c r="N10" s="151"/>
      <c r="O10" s="141"/>
      <c r="P10" s="141"/>
      <c r="Q10" s="141"/>
      <c r="R10" s="141"/>
      <c r="S10" s="141"/>
      <c r="T10" s="141"/>
      <c r="U10" s="141"/>
      <c r="V10" s="141"/>
      <c r="W10" s="141"/>
      <c r="X10" s="141"/>
      <c r="Y10" s="141"/>
      <c r="Z10" s="141"/>
    </row>
    <row r="11" ht="15.75" customHeight="1">
      <c r="A11" s="141"/>
      <c r="B11" s="146" t="s">
        <v>157</v>
      </c>
      <c r="C11" s="147">
        <v>600.0</v>
      </c>
      <c r="D11" s="147">
        <f t="shared" si="1"/>
        <v>1200</v>
      </c>
      <c r="E11" s="146">
        <v>15.0</v>
      </c>
      <c r="F11" s="148">
        <f t="shared" si="2"/>
        <v>900</v>
      </c>
      <c r="G11" s="148">
        <f t="shared" si="3"/>
        <v>600</v>
      </c>
      <c r="H11" s="149">
        <f t="shared" si="4"/>
        <v>0.025</v>
      </c>
      <c r="I11" s="148">
        <f t="shared" si="5"/>
        <v>13500</v>
      </c>
      <c r="J11" s="148">
        <f t="shared" ref="J11:J14" si="7">J10+E11</f>
        <v>25</v>
      </c>
      <c r="K11" s="150">
        <f t="shared" si="6"/>
        <v>0.3333333333</v>
      </c>
      <c r="L11" s="141"/>
      <c r="M11" s="141"/>
      <c r="N11" s="151"/>
      <c r="O11" s="152"/>
      <c r="P11" s="153"/>
      <c r="Q11" s="141"/>
      <c r="R11" s="141"/>
      <c r="S11" s="141"/>
      <c r="T11" s="151"/>
      <c r="U11" s="141"/>
      <c r="V11" s="141"/>
      <c r="W11" s="141"/>
      <c r="X11" s="141"/>
      <c r="Y11" s="141"/>
      <c r="Z11" s="141"/>
    </row>
    <row r="12" ht="15.75" customHeight="1">
      <c r="A12" s="141"/>
      <c r="B12" s="146" t="s">
        <v>158</v>
      </c>
      <c r="C12" s="147">
        <v>1200.0</v>
      </c>
      <c r="D12" s="147">
        <f t="shared" si="1"/>
        <v>1800</v>
      </c>
      <c r="E12" s="146">
        <v>35.0</v>
      </c>
      <c r="F12" s="148">
        <f t="shared" si="2"/>
        <v>1500</v>
      </c>
      <c r="G12" s="148">
        <f t="shared" si="3"/>
        <v>600</v>
      </c>
      <c r="H12" s="149">
        <f t="shared" si="4"/>
        <v>0.05833333333</v>
      </c>
      <c r="I12" s="148">
        <f t="shared" si="5"/>
        <v>52500</v>
      </c>
      <c r="J12" s="148">
        <f t="shared" si="7"/>
        <v>60</v>
      </c>
      <c r="K12" s="150">
        <f t="shared" si="6"/>
        <v>0.8</v>
      </c>
      <c r="L12" s="141"/>
      <c r="M12" s="141"/>
      <c r="N12" s="151"/>
      <c r="O12" s="152"/>
      <c r="P12" s="153"/>
      <c r="Q12" s="141"/>
      <c r="R12" s="141"/>
      <c r="S12" s="141"/>
      <c r="T12" s="151"/>
      <c r="U12" s="141"/>
      <c r="V12" s="141"/>
      <c r="W12" s="141"/>
      <c r="X12" s="141"/>
      <c r="Y12" s="141"/>
      <c r="Z12" s="141"/>
    </row>
    <row r="13" ht="15.75" customHeight="1">
      <c r="A13" s="141"/>
      <c r="B13" s="146" t="s">
        <v>159</v>
      </c>
      <c r="C13" s="147">
        <v>1800.0</v>
      </c>
      <c r="D13" s="147">
        <f t="shared" si="1"/>
        <v>3000</v>
      </c>
      <c r="E13" s="146">
        <v>10.0</v>
      </c>
      <c r="F13" s="148">
        <f t="shared" si="2"/>
        <v>2400</v>
      </c>
      <c r="G13" s="148">
        <f t="shared" si="3"/>
        <v>1200</v>
      </c>
      <c r="H13" s="149">
        <f t="shared" si="4"/>
        <v>0.008333333333</v>
      </c>
      <c r="I13" s="148">
        <f t="shared" si="5"/>
        <v>24000</v>
      </c>
      <c r="J13" s="148">
        <f t="shared" si="7"/>
        <v>70</v>
      </c>
      <c r="K13" s="150">
        <f t="shared" si="6"/>
        <v>0.9333333333</v>
      </c>
      <c r="L13" s="141"/>
      <c r="M13" s="141"/>
      <c r="N13" s="151"/>
      <c r="O13" s="152"/>
      <c r="P13" s="153"/>
      <c r="Q13" s="141"/>
      <c r="R13" s="141"/>
      <c r="S13" s="141"/>
      <c r="T13" s="151"/>
      <c r="U13" s="141"/>
      <c r="V13" s="141"/>
      <c r="W13" s="141"/>
      <c r="X13" s="141"/>
      <c r="Y13" s="141"/>
      <c r="Z13" s="141"/>
    </row>
    <row r="14" ht="15.75" customHeight="1">
      <c r="A14" s="141"/>
      <c r="B14" s="154" t="s">
        <v>160</v>
      </c>
      <c r="C14" s="155">
        <v>3000.0</v>
      </c>
      <c r="D14" s="155">
        <v>6000.0</v>
      </c>
      <c r="E14" s="146">
        <v>5.0</v>
      </c>
      <c r="F14" s="148">
        <f t="shared" si="2"/>
        <v>4500</v>
      </c>
      <c r="G14" s="148">
        <f t="shared" si="3"/>
        <v>3000</v>
      </c>
      <c r="H14" s="149">
        <f t="shared" si="4"/>
        <v>0.001666666667</v>
      </c>
      <c r="I14" s="148">
        <f t="shared" si="5"/>
        <v>22500</v>
      </c>
      <c r="J14" s="148">
        <f t="shared" si="7"/>
        <v>75</v>
      </c>
      <c r="K14" s="150">
        <f t="shared" si="6"/>
        <v>1</v>
      </c>
      <c r="L14" s="141"/>
      <c r="M14" s="141"/>
      <c r="N14" s="151"/>
      <c r="O14" s="152"/>
      <c r="P14" s="153"/>
      <c r="Q14" s="141"/>
      <c r="R14" s="141"/>
      <c r="S14" s="141"/>
      <c r="T14" s="151"/>
      <c r="U14" s="141"/>
      <c r="V14" s="141"/>
      <c r="W14" s="141"/>
      <c r="X14" s="141"/>
      <c r="Y14" s="141"/>
      <c r="Z14" s="141"/>
    </row>
    <row r="15" ht="15.75" customHeight="1">
      <c r="A15" s="141"/>
      <c r="B15" s="141"/>
      <c r="C15" s="141"/>
      <c r="D15" s="141"/>
      <c r="E15" s="141">
        <f>SUM(E10:E14)</f>
        <v>75</v>
      </c>
      <c r="F15" s="141"/>
      <c r="G15" s="141"/>
      <c r="H15" s="141"/>
      <c r="I15" s="141">
        <f>SUM(I10:I14)</f>
        <v>115500</v>
      </c>
      <c r="J15" s="141"/>
      <c r="K15" s="141"/>
      <c r="L15" s="141"/>
      <c r="M15" s="141"/>
      <c r="N15" s="141"/>
      <c r="O15" s="141"/>
      <c r="P15" s="141"/>
      <c r="Q15" s="141"/>
      <c r="R15" s="141"/>
      <c r="S15" s="141"/>
      <c r="T15" s="141"/>
      <c r="U15" s="141"/>
      <c r="V15" s="141"/>
      <c r="W15" s="141"/>
      <c r="X15" s="141"/>
      <c r="Y15" s="141"/>
      <c r="Z15" s="141"/>
    </row>
    <row r="16" ht="15.75" customHeight="1">
      <c r="A16" s="156"/>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row>
    <row r="17" ht="16.5" customHeight="1">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row>
    <row r="18" ht="18.75" customHeight="1">
      <c r="A18" s="156"/>
      <c r="B18" s="157"/>
      <c r="C18" s="158"/>
      <c r="D18" s="143" t="s">
        <v>143</v>
      </c>
      <c r="E18" s="158"/>
      <c r="F18" s="156"/>
      <c r="G18" s="156"/>
      <c r="H18" s="156"/>
      <c r="I18" s="156"/>
      <c r="J18" s="156"/>
      <c r="K18" s="156"/>
      <c r="L18" s="156"/>
      <c r="M18" s="156"/>
      <c r="N18" s="156"/>
      <c r="O18" s="156"/>
      <c r="P18" s="156"/>
      <c r="Q18" s="156"/>
      <c r="R18" s="156"/>
      <c r="S18" s="156"/>
      <c r="T18" s="156"/>
      <c r="U18" s="156"/>
      <c r="V18" s="156"/>
      <c r="W18" s="156"/>
      <c r="X18" s="156"/>
      <c r="Y18" s="156"/>
      <c r="Z18" s="156"/>
    </row>
    <row r="19" ht="15.75" customHeight="1">
      <c r="A19" s="141"/>
      <c r="B19" s="141"/>
      <c r="C19" s="158" t="s">
        <v>84</v>
      </c>
      <c r="D19" s="147">
        <f>I15/E15</f>
        <v>1540</v>
      </c>
      <c r="E19" s="159" t="s">
        <v>127</v>
      </c>
      <c r="F19" s="141"/>
      <c r="G19" s="141"/>
      <c r="H19" s="141"/>
      <c r="I19" s="141"/>
      <c r="J19" s="141"/>
      <c r="K19" s="141"/>
      <c r="L19" s="141"/>
      <c r="M19" s="141"/>
      <c r="N19" s="141"/>
      <c r="O19" s="141"/>
      <c r="P19" s="141"/>
      <c r="Q19" s="141"/>
      <c r="R19" s="141"/>
      <c r="S19" s="141"/>
      <c r="T19" s="141"/>
      <c r="U19" s="141"/>
      <c r="V19" s="141"/>
      <c r="W19" s="141"/>
      <c r="X19" s="141"/>
      <c r="Y19" s="141"/>
      <c r="Z19" s="141"/>
    </row>
    <row r="20" ht="15.75" customHeight="1">
      <c r="A20" s="141"/>
      <c r="B20" s="141"/>
      <c r="C20" s="158" t="s">
        <v>77</v>
      </c>
      <c r="D20" s="147" t="s">
        <v>158</v>
      </c>
      <c r="E20" s="159" t="s">
        <v>127</v>
      </c>
      <c r="F20" s="141"/>
      <c r="G20" s="141"/>
      <c r="H20" s="141"/>
      <c r="I20" s="141"/>
      <c r="J20" s="141"/>
      <c r="K20" s="141"/>
      <c r="L20" s="141"/>
      <c r="M20" s="141"/>
      <c r="N20" s="141"/>
      <c r="O20" s="141"/>
      <c r="P20" s="141"/>
      <c r="Q20" s="141"/>
      <c r="R20" s="141"/>
      <c r="S20" s="141"/>
      <c r="T20" s="141"/>
      <c r="U20" s="141"/>
      <c r="V20" s="141"/>
      <c r="W20" s="141"/>
      <c r="X20" s="141"/>
      <c r="Y20" s="141"/>
      <c r="Z20" s="141"/>
    </row>
    <row r="21" ht="15.75" customHeight="1">
      <c r="A21" s="141"/>
      <c r="B21" s="141"/>
      <c r="C21" s="158" t="s">
        <v>85</v>
      </c>
      <c r="D21" s="147">
        <f>F12</f>
        <v>1500</v>
      </c>
      <c r="E21" s="159" t="s">
        <v>127</v>
      </c>
      <c r="F21" s="141"/>
      <c r="G21" s="141"/>
      <c r="H21" s="141"/>
      <c r="I21" s="141"/>
      <c r="J21" s="141"/>
      <c r="K21" s="141"/>
      <c r="L21" s="141"/>
      <c r="M21" s="141"/>
      <c r="N21" s="141"/>
      <c r="O21" s="141"/>
      <c r="P21" s="141"/>
      <c r="Q21" s="141"/>
      <c r="R21" s="141"/>
      <c r="S21" s="141"/>
      <c r="T21" s="141"/>
      <c r="U21" s="141"/>
      <c r="V21" s="141"/>
      <c r="W21" s="141"/>
      <c r="X21" s="141"/>
      <c r="Y21" s="141"/>
      <c r="Z21" s="141"/>
    </row>
    <row r="22" ht="15.75" customHeight="1">
      <c r="A22" s="141"/>
      <c r="B22" s="141"/>
      <c r="C22" s="158" t="s">
        <v>161</v>
      </c>
      <c r="D22" s="147">
        <f>D12</f>
        <v>1800</v>
      </c>
      <c r="E22" s="159" t="s">
        <v>127</v>
      </c>
      <c r="F22" s="141"/>
      <c r="G22" s="141"/>
      <c r="H22" s="141"/>
      <c r="I22" s="141"/>
      <c r="J22" s="141"/>
      <c r="K22" s="141"/>
      <c r="L22" s="141"/>
      <c r="M22" s="141"/>
      <c r="N22" s="141"/>
      <c r="O22" s="141"/>
      <c r="P22" s="141"/>
      <c r="Q22" s="141"/>
      <c r="R22" s="141"/>
      <c r="S22" s="141"/>
      <c r="T22" s="141"/>
      <c r="U22" s="141"/>
      <c r="V22" s="141"/>
      <c r="W22" s="141"/>
      <c r="X22" s="141"/>
      <c r="Y22" s="141"/>
      <c r="Z22" s="141"/>
    </row>
    <row r="23" ht="15.75" customHeight="1">
      <c r="A23" s="141"/>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ht="15.75" customHeight="1">
      <c r="A24" s="141"/>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ht="15.75" customHeight="1">
      <c r="A25" s="141"/>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ht="15.75" customHeight="1">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ht="15.75" customHeight="1">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ht="15.75" customHeight="1">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ht="15.75" customHeight="1">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ht="15.75" customHeight="1">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ht="15.75" customHeight="1">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ht="15.75" customHeight="1">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ht="15.75" customHeight="1">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ht="15.75" customHeight="1">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ht="15.75" customHeight="1">
      <c r="A35" s="141"/>
      <c r="B35" s="141"/>
      <c r="C35" s="141"/>
      <c r="D35" s="141"/>
      <c r="E35" s="141"/>
      <c r="F35" s="141"/>
      <c r="G35" s="145"/>
      <c r="H35" s="145"/>
      <c r="I35" s="141"/>
      <c r="J35" s="141"/>
      <c r="K35" s="141"/>
      <c r="L35" s="141"/>
      <c r="M35" s="141"/>
      <c r="N35" s="141"/>
      <c r="O35" s="141"/>
      <c r="P35" s="141"/>
      <c r="Q35" s="141"/>
      <c r="R35" s="141"/>
      <c r="S35" s="141"/>
      <c r="T35" s="141"/>
      <c r="U35" s="141"/>
      <c r="V35" s="141"/>
      <c r="W35" s="141"/>
      <c r="X35" s="141"/>
      <c r="Y35" s="141"/>
      <c r="Z35" s="141"/>
    </row>
    <row r="36" ht="15.75" customHeight="1">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ht="15.75" customHeight="1">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ht="15.75" customHeight="1">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ht="15.75" customHeight="1">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ht="15.75" customHeight="1">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ht="15.75" customHeight="1">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ht="15.75" customHeight="1">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ht="15.75" customHeight="1">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ht="15.75" customHeight="1">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ht="15.75" customHeight="1">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ht="15.75" customHeight="1">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ht="15.75" customHeight="1">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ht="15.75" customHeight="1">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ht="15.75" customHeight="1">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ht="15.75" customHeight="1">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ht="15.75" customHeight="1">
      <c r="A51" s="141"/>
      <c r="B51" s="141"/>
      <c r="C51" s="141"/>
      <c r="D51" s="141"/>
      <c r="E51" s="141"/>
      <c r="F51" s="141"/>
      <c r="G51" s="145"/>
      <c r="H51" s="145"/>
      <c r="I51" s="141"/>
      <c r="J51" s="141"/>
      <c r="K51" s="141"/>
      <c r="L51" s="141"/>
      <c r="M51" s="141"/>
      <c r="N51" s="141"/>
      <c r="O51" s="141"/>
      <c r="P51" s="141"/>
      <c r="Q51" s="141"/>
      <c r="R51" s="141"/>
      <c r="S51" s="141"/>
      <c r="T51" s="141"/>
      <c r="U51" s="141"/>
      <c r="V51" s="141"/>
      <c r="W51" s="141"/>
      <c r="X51" s="141"/>
      <c r="Y51" s="141"/>
      <c r="Z51" s="141"/>
    </row>
    <row r="52" ht="15.75" customHeight="1">
      <c r="A52" s="141"/>
      <c r="B52" s="141"/>
      <c r="C52" s="141"/>
      <c r="D52" s="141"/>
      <c r="E52" s="141"/>
      <c r="F52" s="141"/>
      <c r="G52" s="141"/>
      <c r="H52" s="160"/>
      <c r="I52" s="141"/>
      <c r="J52" s="141"/>
      <c r="K52" s="141"/>
      <c r="L52" s="141"/>
      <c r="M52" s="141"/>
      <c r="N52" s="141"/>
      <c r="O52" s="141"/>
      <c r="P52" s="141"/>
      <c r="Q52" s="141"/>
      <c r="R52" s="141"/>
      <c r="S52" s="141"/>
      <c r="T52" s="141"/>
      <c r="U52" s="141"/>
      <c r="V52" s="141"/>
      <c r="W52" s="141"/>
      <c r="X52" s="141"/>
      <c r="Y52" s="141"/>
      <c r="Z52" s="141"/>
    </row>
    <row r="53" ht="15.75" customHeight="1">
      <c r="A53" s="141"/>
      <c r="B53" s="141"/>
      <c r="C53" s="141"/>
      <c r="D53" s="141"/>
      <c r="E53" s="141"/>
      <c r="F53" s="141"/>
      <c r="G53" s="141"/>
      <c r="H53" s="151"/>
      <c r="I53" s="141"/>
      <c r="J53" s="141"/>
      <c r="K53" s="141"/>
      <c r="L53" s="141"/>
      <c r="M53" s="141"/>
      <c r="N53" s="141"/>
      <c r="O53" s="141"/>
      <c r="P53" s="141"/>
      <c r="Q53" s="141"/>
      <c r="R53" s="141"/>
      <c r="S53" s="141"/>
      <c r="T53" s="141"/>
      <c r="U53" s="141"/>
      <c r="V53" s="141"/>
      <c r="W53" s="141"/>
      <c r="X53" s="141"/>
      <c r="Y53" s="141"/>
      <c r="Z53" s="141"/>
    </row>
    <row r="54" ht="15.75" customHeight="1">
      <c r="A54" s="141"/>
      <c r="B54" s="141"/>
      <c r="C54" s="141"/>
      <c r="D54" s="141"/>
      <c r="E54" s="141"/>
      <c r="F54" s="141"/>
      <c r="G54" s="141"/>
      <c r="H54" s="151"/>
      <c r="I54" s="141"/>
      <c r="J54" s="141"/>
      <c r="K54" s="141"/>
      <c r="L54" s="141"/>
      <c r="M54" s="141"/>
      <c r="N54" s="141"/>
      <c r="O54" s="141"/>
      <c r="P54" s="141"/>
      <c r="Q54" s="141"/>
      <c r="R54" s="141"/>
      <c r="S54" s="141"/>
      <c r="T54" s="141"/>
      <c r="U54" s="141"/>
      <c r="V54" s="141"/>
      <c r="W54" s="141"/>
      <c r="X54" s="141"/>
      <c r="Y54" s="141"/>
      <c r="Z54" s="141"/>
    </row>
    <row r="55" ht="15.75" customHeight="1">
      <c r="A55" s="141"/>
      <c r="B55" s="141"/>
      <c r="C55" s="141"/>
      <c r="D55" s="141"/>
      <c r="E55" s="141"/>
      <c r="F55" s="141"/>
      <c r="G55" s="141"/>
      <c r="H55" s="151"/>
      <c r="I55" s="141"/>
      <c r="J55" s="141"/>
      <c r="K55" s="141"/>
      <c r="L55" s="141"/>
      <c r="M55" s="141"/>
      <c r="N55" s="141"/>
      <c r="O55" s="141"/>
      <c r="P55" s="141"/>
      <c r="Q55" s="141"/>
      <c r="R55" s="141"/>
      <c r="S55" s="141"/>
      <c r="T55" s="141"/>
      <c r="U55" s="141"/>
      <c r="V55" s="141"/>
      <c r="W55" s="141"/>
      <c r="X55" s="141"/>
      <c r="Y55" s="141"/>
      <c r="Z55" s="141"/>
    </row>
    <row r="56" ht="15.75" customHeight="1">
      <c r="A56" s="141"/>
      <c r="B56" s="141"/>
      <c r="C56" s="141"/>
      <c r="D56" s="141"/>
      <c r="E56" s="141"/>
      <c r="F56" s="141"/>
      <c r="G56" s="141"/>
      <c r="H56" s="151"/>
      <c r="I56" s="141"/>
      <c r="J56" s="141"/>
      <c r="K56" s="141"/>
      <c r="L56" s="141"/>
      <c r="M56" s="141"/>
      <c r="N56" s="141"/>
      <c r="O56" s="141"/>
      <c r="P56" s="141"/>
      <c r="Q56" s="141"/>
      <c r="R56" s="141"/>
      <c r="S56" s="141"/>
      <c r="T56" s="141"/>
      <c r="U56" s="141"/>
      <c r="V56" s="141"/>
      <c r="W56" s="141"/>
      <c r="X56" s="141"/>
      <c r="Y56" s="141"/>
      <c r="Z56" s="141"/>
    </row>
    <row r="57" ht="15.75" customHeight="1">
      <c r="A57" s="141"/>
      <c r="B57" s="141"/>
      <c r="C57" s="141"/>
      <c r="D57" s="141"/>
      <c r="E57" s="141"/>
      <c r="F57" s="141"/>
      <c r="G57" s="141"/>
      <c r="H57" s="151"/>
      <c r="I57" s="141"/>
      <c r="J57" s="141"/>
      <c r="K57" s="141"/>
      <c r="L57" s="141"/>
      <c r="M57" s="141"/>
      <c r="N57" s="141"/>
      <c r="O57" s="141"/>
      <c r="P57" s="141"/>
      <c r="Q57" s="141"/>
      <c r="R57" s="141"/>
      <c r="S57" s="141"/>
      <c r="T57" s="141"/>
      <c r="U57" s="141"/>
      <c r="V57" s="141"/>
      <c r="W57" s="141"/>
      <c r="X57" s="141"/>
      <c r="Y57" s="141"/>
      <c r="Z57" s="141"/>
    </row>
    <row r="58" ht="15.75" customHeight="1">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ht="15.75" customHeight="1">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ht="15.75" customHeight="1">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ht="15.75" customHeight="1">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ht="15.75" customHeight="1">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ht="15.75" customHeight="1">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ht="15.75" customHeight="1">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ht="15.75" customHeight="1">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ht="15.75" customHeight="1">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ht="15.75" customHeight="1">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ht="15.75" customHeight="1">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ht="15.75" customHeight="1">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ht="15.75" customHeight="1">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ht="15.75" customHeight="1">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ht="15.75" customHeight="1">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ht="15.75" customHeight="1">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ht="15.75" customHeight="1">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ht="15.75" customHeight="1">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ht="15.75" customHeight="1">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ht="15.75" customHeight="1">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ht="15.75" customHeight="1">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ht="15.75" customHeight="1">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ht="15.75" customHeight="1">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ht="15.75" customHeight="1">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ht="15.75" customHeight="1">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ht="15.75" customHeight="1">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ht="15.75" customHeight="1">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ht="15.75" customHeight="1">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ht="15.75" customHeight="1">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ht="15.75" customHeight="1">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ht="15.75" customHeight="1">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ht="15.75" customHeight="1">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ht="15.75" customHeight="1">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ht="15.75" customHeight="1">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ht="15.75" customHeight="1">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ht="15.75" customHeight="1">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ht="15.75" customHeight="1">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ht="15.75" customHeight="1">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ht="15.75" customHeight="1">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ht="15.75" customHeight="1">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ht="15.75" customHeight="1">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ht="15.75" customHeight="1">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ht="15.75"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ht="15.75"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ht="15.75"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ht="15.75"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ht="15.75"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ht="15.75"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ht="15.75"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ht="15.75"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ht="15.75"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ht="15.75"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ht="15.75"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ht="15.75"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ht="15.75"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ht="15.75"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ht="15.75"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ht="15.75"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ht="15.75"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ht="15.75"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ht="15.75"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ht="15.75"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ht="15.75"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ht="15.75"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ht="15.75"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ht="15.75"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ht="15.75"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ht="15.75"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ht="15.75"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ht="15.75"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ht="15.75"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ht="15.75"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ht="15.75"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ht="15.75"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ht="15.75"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ht="15.75"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ht="15.75"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ht="15.75"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ht="15.75"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ht="15.75"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ht="15.75"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ht="15.75"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ht="15.75"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ht="15.75"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ht="15.75"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ht="15.75"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ht="15.75"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ht="15.75"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ht="15.75"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ht="15.75"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ht="15.75"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ht="15.75"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ht="15.75"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ht="15.75"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ht="15.75"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ht="15.75"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ht="15.75"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ht="15.75"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ht="15.75"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ht="15.75"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ht="15.75"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ht="15.75"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ht="15.75"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ht="15.75"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ht="15.75"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ht="15.75"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ht="15.75"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ht="15.75"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ht="15.75"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ht="15.75"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ht="15.75"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ht="15.75"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ht="15.75"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ht="15.75"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ht="15.75"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ht="15.75"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ht="15.75"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ht="15.75"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ht="15.75"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ht="15.75"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ht="15.75"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ht="15.75"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ht="15.75"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ht="15.75"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ht="15.75"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ht="15.75"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ht="15.75"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ht="15.75"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ht="15.75"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ht="15.75"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ht="15.75"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ht="15.75"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ht="15.75"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ht="15.75"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ht="15.75"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ht="15.75"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ht="15.75"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ht="15.75"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ht="15.75"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ht="15.75"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ht="15.75"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ht="15.75"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ht="15.75"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ht="15.75"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ht="15.75"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ht="15.75"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ht="15.75"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ht="15.75"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ht="15.75"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ht="15.75"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ht="15.75"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ht="15.75"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ht="15.75"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ht="15.75"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ht="15.75"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ht="15.75"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ht="15.75"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ht="15.75"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ht="15.75"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ht="15.75"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ht="15.75"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ht="15.75"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ht="15.75"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ht="15.75"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ht="15.75"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ht="15.75"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ht="15.75"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ht="15.75"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ht="15.75"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ht="15.75"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ht="15.75"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ht="15.75"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ht="15.75"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ht="15.75"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ht="15.75"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ht="15.75"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ht="15.75"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ht="15.75"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ht="15.75"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ht="15.75"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ht="15.75"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ht="15.75"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ht="15.75"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ht="15.75"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ht="15.75"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ht="15.75"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ht="15.75" customHeight="1">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ht="15.75" customHeight="1">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ht="15.75" customHeight="1">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ht="15.75" customHeight="1">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ht="15.75" customHeight="1">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ht="15.75" customHeight="1">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ht="15.75" customHeight="1">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ht="15.75" customHeight="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ht="15.75" customHeight="1">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ht="15.75" customHeight="1">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ht="15.75" customHeight="1">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ht="15.75" customHeight="1">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ht="15.75" customHeight="1">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ht="15.75" customHeight="1">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ht="15.75" customHeight="1">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ht="15.75" customHeight="1">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ht="15.75" customHeight="1">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ht="15.75" customHeight="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ht="15.75"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ht="15.75"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ht="15.75"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ht="15.75" customHeight="1">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ht="15.75" customHeight="1">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ht="15.75" customHeight="1">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ht="15.75" customHeight="1">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ht="15.75" customHeight="1">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ht="15.75" customHeight="1">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ht="15.75" customHeight="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ht="15.75" customHeight="1">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ht="15.75" customHeight="1">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ht="15.75" customHeight="1">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ht="15.75" customHeight="1">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ht="15.75" customHeight="1">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ht="15.75" customHeight="1">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ht="15.75" customHeight="1">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ht="15.75" customHeight="1">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ht="15.75" customHeight="1">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ht="15.75" customHeight="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ht="15.75" customHeight="1">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ht="15.75" customHeight="1">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ht="15.75" customHeight="1">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ht="15.75" customHeight="1">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ht="15.75" customHeight="1">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ht="15.75" customHeight="1">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ht="15.75" customHeight="1">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ht="15.75" customHeight="1">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ht="15.75" customHeight="1">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ht="15.75" customHeight="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ht="15.75" customHeight="1">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ht="15.75" customHeight="1">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ht="15.75" customHeight="1">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ht="15.75" customHeight="1">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ht="15.75" customHeight="1">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ht="15.75" customHeight="1">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ht="15.75" customHeight="1">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ht="15.75" customHeight="1">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ht="15.75" customHeight="1">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ht="15.75" customHeight="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ht="15.75" customHeight="1">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ht="15.75" customHeight="1">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ht="15.75" customHeight="1">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ht="15.75" customHeight="1">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ht="15.75" customHeight="1">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ht="15.75" customHeight="1">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ht="15.75" customHeight="1">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ht="15.75" customHeight="1">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ht="15.75" customHeight="1">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ht="15.75" customHeight="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ht="15.75" customHeight="1">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ht="15.75" customHeight="1">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ht="15.75" customHeight="1">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ht="15.75" customHeight="1">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ht="15.75" customHeight="1">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ht="15.75" customHeight="1">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ht="15.75" customHeight="1">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ht="15.75" customHeight="1">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ht="15.75" customHeight="1">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ht="15.75" customHeight="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ht="15.75" customHeight="1">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ht="15.75" customHeight="1">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ht="15.75" customHeight="1">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ht="15.75" customHeight="1">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ht="15.75" customHeight="1">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ht="15.75" customHeight="1">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ht="15.75" customHeight="1">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ht="15.75" customHeight="1">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ht="15.75" customHeight="1">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ht="15.75" customHeight="1">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ht="15.75" customHeight="1">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ht="15.75" customHeight="1">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ht="15.75" customHeight="1">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ht="15.75" customHeight="1">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ht="15.75" customHeight="1">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ht="15.75" customHeight="1">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ht="15.75" customHeight="1">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ht="15.75" customHeight="1">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ht="15.75" customHeight="1">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ht="15.75" customHeight="1">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ht="15.75" customHeight="1">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ht="15.75" customHeight="1">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ht="15.75" customHeight="1">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ht="15.75" customHeight="1">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ht="15.75" customHeight="1">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ht="15.75" customHeight="1">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ht="15.75" customHeight="1">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ht="15.75" customHeight="1">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ht="15.75" customHeight="1">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ht="15.75" customHeight="1">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ht="15.75" customHeight="1">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ht="15.75" customHeight="1">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ht="15.75" customHeight="1">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ht="15.75" customHeight="1">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ht="15.75" customHeight="1">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ht="15.75" customHeight="1">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ht="15.75" customHeight="1">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ht="15.75" customHeight="1">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ht="15.75" customHeight="1">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ht="15.75" customHeight="1">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ht="15.75" customHeight="1">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ht="15.75" customHeight="1">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ht="15.75" customHeight="1">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ht="15.75" customHeight="1">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ht="15.75" customHeight="1">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ht="15.75" customHeight="1">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ht="15.75" customHeight="1">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ht="15.75" customHeight="1">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ht="15.75" customHeight="1">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ht="15.75" customHeight="1">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ht="15.75" customHeight="1">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ht="15.75" customHeight="1">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ht="15.75" customHeight="1">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ht="15.75" customHeight="1">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ht="15.75" customHeight="1">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ht="15.75" customHeight="1">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ht="15.75" customHeight="1">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ht="15.75" customHeight="1">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ht="15.75" customHeight="1">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ht="15.75" customHeight="1">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ht="15.75" customHeight="1">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ht="15.75" customHeight="1">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ht="15.75" customHeight="1">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ht="15.75" customHeight="1">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ht="15.75" customHeight="1">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ht="15.75" customHeight="1">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ht="15.75" customHeight="1">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ht="15.75" customHeight="1">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ht="15.75" customHeight="1">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ht="15.75" customHeight="1">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ht="15.75" customHeight="1">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ht="15.75" customHeight="1">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ht="15.75" customHeight="1">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ht="15.75" customHeight="1">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ht="15.75" customHeight="1">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ht="15.75" customHeight="1">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ht="15.75" customHeight="1">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ht="15.75" customHeight="1">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ht="15.75" customHeight="1">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ht="15.75" customHeight="1">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ht="15.75" customHeight="1">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ht="15.75" customHeight="1">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ht="15.75" customHeight="1">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ht="15.75" customHeight="1">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ht="15.75" customHeight="1">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ht="15.75" customHeight="1">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ht="15.75" customHeight="1">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ht="15.75" customHeight="1">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ht="15.75" customHeight="1">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ht="15.75" customHeight="1">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ht="15.75" customHeight="1">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ht="15.75" customHeight="1">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ht="15.75" customHeight="1">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ht="15.75" customHeight="1">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ht="15.75" customHeight="1">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ht="15.75" customHeight="1">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ht="15.75" customHeight="1">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ht="15.75" customHeight="1">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ht="15.75" customHeight="1">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ht="15.75" customHeight="1">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ht="15.75" customHeight="1">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ht="15.75" customHeight="1">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ht="15.75" customHeight="1">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ht="15.75" customHeight="1">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ht="15.75" customHeight="1">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ht="15.75" customHeight="1">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ht="15.75" customHeight="1">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ht="15.75" customHeight="1">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ht="15.75" customHeight="1">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ht="15.75" customHeight="1">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ht="15.75" customHeight="1">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ht="15.75" customHeight="1">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ht="15.75" customHeight="1">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ht="15.75" customHeight="1">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ht="15.75" customHeight="1">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ht="15.75" customHeight="1">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ht="15.75" customHeight="1">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ht="15.75" customHeight="1">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ht="15.75" customHeight="1">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ht="15.75" customHeight="1">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ht="15.75" customHeight="1">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ht="15.75" customHeight="1">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ht="15.75" customHeight="1">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ht="15.75" customHeight="1">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ht="15.75" customHeight="1">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ht="15.75" customHeight="1">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ht="15.75" customHeight="1">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ht="15.75" customHeight="1">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ht="15.75" customHeight="1">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ht="15.75" customHeight="1">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ht="15.75" customHeight="1">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ht="15.75" customHeight="1">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ht="15.75" customHeight="1">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ht="15.75" customHeight="1">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ht="15.75" customHeight="1">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ht="15.75" customHeight="1">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ht="15.75" customHeight="1">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ht="15.75" customHeight="1">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ht="15.75" customHeight="1">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ht="15.75" customHeight="1">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ht="15.75" customHeight="1">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ht="15.75" customHeight="1">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ht="15.75" customHeight="1">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ht="15.75" customHeight="1">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ht="15.75" customHeight="1">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ht="15.75" customHeight="1">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ht="15.75" customHeight="1">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ht="15.75" customHeight="1">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ht="15.75" customHeight="1">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ht="15.75" customHeight="1">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ht="15.75" customHeight="1">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ht="15.75" customHeight="1">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ht="15.75" customHeight="1">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ht="15.75" customHeight="1">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ht="15.75" customHeight="1">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ht="15.75" customHeight="1">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ht="15.75" customHeight="1">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ht="15.75" customHeight="1">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ht="15.75" customHeight="1">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ht="15.75" customHeight="1">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ht="15.75" customHeight="1">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ht="15.75" customHeight="1">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ht="15.75" customHeight="1">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ht="15.75" customHeight="1">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ht="15.75" customHeight="1">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ht="15.75" customHeight="1">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ht="15.75" customHeight="1">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ht="15.75" customHeight="1">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ht="15.75" customHeight="1">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ht="15.75" customHeight="1">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ht="15.75" customHeight="1">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ht="15.75" customHeight="1">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ht="15.75" customHeight="1">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ht="15.75" customHeight="1">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ht="15.75" customHeight="1">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ht="15.75" customHeight="1">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ht="15.75" customHeight="1">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ht="15.75" customHeight="1">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ht="15.75" customHeight="1">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ht="15.75" customHeight="1">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ht="15.75" customHeight="1">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ht="15.75" customHeight="1">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ht="15.75" customHeight="1">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ht="15.75" customHeight="1">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ht="15.75" customHeight="1">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ht="15.75" customHeight="1">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ht="15.75" customHeight="1">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ht="15.75" customHeight="1">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ht="15.75" customHeight="1">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ht="15.75" customHeight="1">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ht="15.75" customHeight="1">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ht="15.75" customHeight="1">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ht="15.75" customHeight="1">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ht="15.75" customHeight="1">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ht="15.75" customHeight="1">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ht="15.75" customHeight="1">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ht="15.75" customHeight="1">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ht="15.75" customHeight="1">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ht="15.75" customHeight="1">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ht="15.75" customHeight="1">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ht="15.75" customHeight="1">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ht="15.75" customHeight="1">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ht="15.75" customHeight="1">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ht="15.75" customHeight="1">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ht="15.75" customHeight="1">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ht="15.75" customHeight="1">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ht="15.75" customHeight="1">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ht="15.75" customHeight="1">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ht="15.75" customHeight="1">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ht="15.75" customHeight="1">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ht="15.75" customHeight="1">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ht="15.75" customHeight="1">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ht="15.75" customHeight="1">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ht="15.75" customHeight="1">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ht="15.75" customHeight="1">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ht="15.75" customHeight="1">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ht="15.75" customHeight="1">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ht="15.75" customHeight="1">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ht="15.75" customHeight="1">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ht="15.75" customHeight="1">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ht="15.75" customHeight="1">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ht="15.75" customHeight="1">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ht="15.75" customHeight="1">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ht="15.75" customHeight="1">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ht="15.75" customHeight="1">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ht="15.75" customHeight="1">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ht="15.75" customHeight="1">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ht="15.75" customHeight="1">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ht="15.75" customHeight="1">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ht="15.75" customHeight="1">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ht="15.75" customHeight="1">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ht="15.75" customHeight="1">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ht="15.75" customHeight="1">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ht="15.75" customHeight="1">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ht="15.75" customHeight="1">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ht="15.75" customHeight="1">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ht="15.75" customHeight="1">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ht="15.75" customHeight="1">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ht="15.75" customHeight="1">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ht="15.75" customHeight="1">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ht="15.75" customHeight="1">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ht="15.75" customHeight="1">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ht="15.75" customHeight="1">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ht="15.75" customHeight="1">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ht="15.75" customHeight="1">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ht="15.75" customHeight="1">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ht="15.75" customHeight="1">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ht="15.75" customHeight="1">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ht="15.75" customHeight="1">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ht="15.75" customHeight="1">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ht="15.75" customHeight="1">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ht="15.75" customHeight="1">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ht="15.75" customHeight="1">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ht="15.75" customHeight="1">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ht="15.75" customHeight="1">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ht="15.75" customHeight="1">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ht="15.75" customHeight="1">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ht="15.75" customHeight="1">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ht="15.75" customHeight="1">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ht="15.75" customHeight="1">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ht="15.75" customHeight="1">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ht="15.75" customHeight="1">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ht="15.75" customHeight="1">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ht="15.75" customHeight="1">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ht="15.75" customHeight="1">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ht="15.75" customHeight="1">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ht="15.75" customHeight="1">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ht="15.75" customHeight="1">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ht="15.75" customHeight="1">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ht="15.75" customHeight="1">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ht="15.75" customHeight="1">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ht="15.75" customHeight="1">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ht="15.75" customHeight="1">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ht="15.75" customHeight="1">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ht="15.75" customHeight="1">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ht="15.75" customHeight="1">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ht="15.75" customHeight="1">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ht="15.75" customHeight="1">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ht="15.75" customHeight="1">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ht="15.75" customHeight="1">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ht="15.75" customHeight="1">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ht="15.75" customHeight="1">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ht="15.75" customHeight="1">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ht="15.75" customHeight="1">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ht="15.75" customHeight="1">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ht="15.75" customHeight="1">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ht="15.75" customHeight="1">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ht="15.75" customHeight="1">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ht="15.75" customHeight="1">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ht="15.75" customHeight="1">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ht="15.75" customHeight="1">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ht="15.75" customHeight="1">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ht="15.75" customHeight="1">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ht="15.75" customHeight="1">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ht="15.75" customHeight="1">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ht="15.75" customHeight="1">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ht="15.75" customHeight="1">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ht="15.75" customHeight="1">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ht="15.75" customHeight="1">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ht="15.75" customHeight="1">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ht="15.75" customHeight="1">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ht="15.75" customHeight="1">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ht="15.75" customHeight="1">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ht="15.75" customHeight="1">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ht="15.75" customHeight="1">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ht="15.75" customHeight="1">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ht="15.75" customHeight="1">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ht="15.75" customHeight="1">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ht="15.75" customHeight="1">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ht="15.75" customHeight="1">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ht="15.75" customHeight="1">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ht="15.75" customHeight="1">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ht="15.75" customHeight="1">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ht="15.75" customHeight="1">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ht="15.75" customHeight="1">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ht="15.75" customHeight="1">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ht="15.75" customHeight="1">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ht="15.75" customHeight="1">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ht="15.75" customHeight="1">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ht="15.75" customHeight="1">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ht="15.75" customHeight="1">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ht="15.75" customHeight="1">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ht="15.75" customHeight="1">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ht="15.75" customHeight="1">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ht="15.75" customHeight="1">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ht="15.75" customHeight="1">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ht="15.75" customHeight="1">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ht="15.75" customHeight="1">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ht="15.75" customHeight="1">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ht="15.75" customHeight="1">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ht="15.75" customHeight="1">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ht="15.75" customHeight="1">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ht="15.75" customHeight="1">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ht="15.75" customHeight="1">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ht="15.75" customHeight="1">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ht="15.75" customHeight="1">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ht="15.75" customHeight="1">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ht="15.75" customHeight="1">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ht="15.75" customHeight="1">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ht="15.75" customHeight="1">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ht="15.75" customHeight="1">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ht="15.75" customHeight="1">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ht="15.75" customHeight="1">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ht="15.75" customHeight="1">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ht="15.75" customHeight="1">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ht="15.75" customHeight="1">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ht="15.75" customHeight="1">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ht="15.75" customHeight="1">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ht="15.75" customHeight="1">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ht="15.75" customHeight="1">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ht="15.75" customHeight="1">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ht="15.75" customHeight="1">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ht="15.75" customHeight="1">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ht="15.75" customHeight="1">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ht="15.75" customHeight="1">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ht="15.75" customHeight="1">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ht="15.75" customHeight="1">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ht="15.75" customHeight="1">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ht="15.75" customHeight="1">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ht="15.75" customHeight="1">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ht="15.75" customHeight="1">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ht="15.75" customHeight="1">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ht="15.75" customHeight="1">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ht="15.75" customHeight="1">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ht="15.75" customHeight="1">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ht="15.75" customHeight="1">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ht="15.75" customHeight="1">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ht="15.75" customHeight="1">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ht="15.75" customHeight="1">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ht="15.75" customHeight="1">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ht="15.75" customHeight="1">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ht="15.75" customHeight="1">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ht="15.75" customHeight="1">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ht="15.75" customHeight="1">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ht="15.75" customHeight="1">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ht="15.75" customHeight="1">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ht="15.75" customHeight="1">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ht="15.75" customHeight="1">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ht="15.75" customHeight="1">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ht="15.75" customHeight="1">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ht="15.75" customHeight="1">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ht="15.75" customHeight="1">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ht="15.75" customHeight="1">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ht="15.75" customHeight="1">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ht="15.75" customHeight="1">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ht="15.75" customHeight="1">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ht="15.75" customHeight="1">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ht="15.75" customHeight="1">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ht="15.75" customHeight="1">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ht="15.75" customHeight="1">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ht="15.75" customHeight="1">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ht="15.75" customHeight="1">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ht="15.75" customHeight="1">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ht="15.75" customHeight="1">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ht="15.75" customHeight="1">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ht="15.75" customHeight="1">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ht="15.75" customHeight="1">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ht="15.75" customHeight="1">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ht="15.75" customHeight="1">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ht="15.75" customHeight="1">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ht="15.75" customHeight="1">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ht="15.75" customHeight="1">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ht="15.75" customHeight="1">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ht="15.75" customHeight="1">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ht="15.75" customHeight="1">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ht="15.75" customHeight="1">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ht="15.75" customHeight="1">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ht="15.75" customHeight="1">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ht="15.75" customHeight="1">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ht="15.75" customHeight="1">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ht="15.75" customHeight="1">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ht="15.75" customHeight="1">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ht="15.75" customHeight="1">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ht="15.75" customHeight="1">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ht="15.75" customHeight="1">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ht="15.75" customHeight="1">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ht="15.75" customHeight="1">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ht="15.75" customHeight="1">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ht="15.75" customHeight="1">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ht="15.75" customHeight="1">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ht="15.75" customHeight="1">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ht="15.75" customHeight="1">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ht="15.75" customHeight="1">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ht="15.75" customHeight="1">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ht="15.75" customHeight="1">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ht="15.75" customHeight="1">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ht="15.75" customHeight="1">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ht="15.75" customHeight="1">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ht="15.75" customHeight="1">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ht="15.75" customHeight="1">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ht="15.75" customHeight="1">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ht="15.75" customHeight="1">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ht="15.75" customHeight="1">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ht="15.75" customHeight="1">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ht="15.75" customHeight="1">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ht="15.75" customHeight="1">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ht="15.75" customHeight="1">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ht="15.75" customHeight="1">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ht="15.75" customHeight="1">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ht="15.75" customHeight="1">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ht="15.75" customHeight="1">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ht="15.75" customHeight="1">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ht="15.75" customHeight="1">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ht="15.75" customHeight="1">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ht="15.75" customHeight="1">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ht="15.75" customHeight="1">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ht="15.75" customHeight="1">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ht="15.75" customHeight="1">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ht="15.75" customHeight="1">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ht="15.75" customHeight="1">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ht="15.75" customHeight="1">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ht="15.75" customHeight="1">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ht="15.75" customHeight="1">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ht="15.75" customHeight="1">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ht="15.75" customHeight="1">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ht="15.75" customHeight="1">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ht="15.75" customHeight="1">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ht="15.75" customHeight="1">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ht="15.75" customHeight="1">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ht="15.75" customHeight="1">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ht="15.75" customHeight="1">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ht="15.75" customHeight="1">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ht="15.75" customHeight="1">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ht="15.75" customHeight="1">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ht="15.75" customHeight="1">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ht="15.75" customHeight="1">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ht="15.75" customHeight="1">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ht="15.75" customHeight="1">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ht="15.75" customHeight="1">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ht="15.75" customHeight="1">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ht="15.75" customHeight="1">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ht="15.75" customHeight="1">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ht="15.75" customHeight="1">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ht="15.75" customHeight="1">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ht="15.75" customHeight="1">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ht="15.75" customHeight="1">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ht="15.75" customHeight="1">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ht="15.75" customHeight="1">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ht="15.75" customHeight="1">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ht="15.75" customHeight="1">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ht="15.75" customHeight="1">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ht="15.75" customHeight="1">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ht="15.75" customHeight="1">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ht="15.75" customHeight="1">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ht="15.75" customHeight="1">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ht="15.75" customHeight="1">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ht="15.75" customHeight="1">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ht="15.75" customHeight="1">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ht="15.75" customHeight="1">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ht="15.75" customHeight="1">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ht="15.75" customHeight="1">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ht="15.75" customHeight="1">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ht="15.75" customHeight="1">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ht="15.75" customHeight="1">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ht="15.75" customHeight="1">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ht="15.75" customHeight="1">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ht="15.75" customHeight="1">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ht="15.75" customHeight="1">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ht="15.75" customHeight="1">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ht="15.75" customHeight="1">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ht="15.75" customHeight="1">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ht="15.75" customHeight="1">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ht="15.75" customHeight="1">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ht="15.75" customHeight="1">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ht="15.75" customHeight="1">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ht="15.75" customHeight="1">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ht="15.75" customHeight="1">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ht="15.75" customHeight="1">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ht="15.75" customHeight="1">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ht="15.75" customHeight="1">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ht="15.75" customHeight="1">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ht="15.75" customHeight="1">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ht="15.75" customHeight="1">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ht="15.75" customHeight="1">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ht="15.75" customHeight="1">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ht="15.75" customHeight="1">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ht="15.75" customHeight="1">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ht="15.75" customHeight="1">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ht="15.75" customHeight="1">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ht="15.75" customHeight="1">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ht="15.75" customHeight="1">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ht="15.75" customHeight="1">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ht="15.75" customHeight="1">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ht="15.75" customHeight="1">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ht="15.75" customHeight="1">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ht="15.75" customHeight="1">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ht="15.75" customHeight="1">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ht="15.75" customHeight="1">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ht="15.75" customHeight="1">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ht="15.75" customHeight="1">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ht="15.75" customHeight="1">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ht="15.75" customHeight="1">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ht="15.75" customHeight="1">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ht="15.75" customHeight="1">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ht="15.75" customHeight="1">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ht="15.75" customHeight="1">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ht="15.75" customHeight="1">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ht="15.75" customHeight="1">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ht="15.75" customHeight="1">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ht="15.75" customHeight="1">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ht="15.75" customHeight="1">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ht="15.75" customHeight="1">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ht="15.75" customHeight="1">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ht="15.75" customHeight="1">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ht="15.75" customHeight="1">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ht="15.75" customHeight="1">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ht="15.75" customHeight="1">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ht="15.75" customHeight="1">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ht="15.75" customHeight="1">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ht="15.75" customHeight="1">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ht="15.75" customHeight="1">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ht="15.75" customHeight="1">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ht="15.75" customHeight="1">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ht="15.75" customHeight="1">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ht="15.75" customHeight="1">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ht="15.75" customHeight="1">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ht="15.75" customHeight="1">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ht="15.75" customHeight="1">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ht="15.75" customHeight="1">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ht="15.75" customHeight="1">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ht="15.75" customHeight="1">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ht="15.75" customHeight="1">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ht="15.75" customHeight="1">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ht="15.75" customHeight="1">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ht="15.75" customHeight="1">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ht="15.75" customHeight="1">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ht="15.75" customHeight="1">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ht="15.75" customHeight="1">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ht="15.75" customHeight="1">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ht="15.75" customHeight="1">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ht="15.75" customHeight="1">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ht="15.75" customHeight="1">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ht="15.75" customHeight="1">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ht="15.75" customHeight="1">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ht="15.75" customHeight="1">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ht="15.75" customHeight="1">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ht="15.75" customHeight="1">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ht="15.75" customHeight="1">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ht="15.75" customHeight="1">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ht="15.75" customHeight="1">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ht="15.75" customHeight="1">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ht="15.75" customHeight="1">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ht="15.75" customHeight="1">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ht="15.75" customHeight="1">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ht="15.75" customHeight="1">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ht="15.75" customHeight="1">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ht="15.75" customHeight="1">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ht="15.75" customHeight="1">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ht="15.75" customHeight="1">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ht="15.75" customHeight="1">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ht="15.75" customHeight="1">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ht="15.75" customHeight="1">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ht="15.75" customHeight="1">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ht="15.75" customHeight="1">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ht="15.75" customHeight="1">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ht="15.75" customHeight="1">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ht="15.75" customHeight="1">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ht="15.75" customHeight="1">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ht="15.75" customHeight="1">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ht="15.75" customHeight="1">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ht="15.75" customHeight="1">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ht="15.75" customHeight="1">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ht="15.75" customHeight="1">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ht="15.75" customHeight="1">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ht="15.75" customHeight="1">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ht="15.75" customHeight="1">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ht="15.75" customHeight="1">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ht="15.75" customHeight="1">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ht="15.75" customHeight="1">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ht="15.75" customHeight="1">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ht="15.75" customHeight="1">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ht="15.75" customHeight="1">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ht="15.75" customHeight="1">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ht="15.75" customHeight="1">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ht="15.75" customHeight="1">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ht="15.75" customHeight="1">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ht="15.75" customHeight="1">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ht="15.75" customHeight="1">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ht="15.75" customHeight="1">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ht="15.75" customHeight="1">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ht="15.75" customHeight="1">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ht="15.75" customHeight="1">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ht="15.75" customHeight="1">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ht="15.75" customHeight="1">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ht="15.75" customHeight="1">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ht="15.75" customHeight="1">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ht="15.75" customHeight="1">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ht="15.75" customHeight="1">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ht="15.75" customHeight="1">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ht="15.75" customHeight="1">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ht="15.75" customHeight="1">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ht="15.75" customHeight="1">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ht="15.75" customHeight="1">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ht="15.75" customHeight="1">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ht="15.75" customHeight="1">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ht="15.75" customHeight="1">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ht="15.75" customHeight="1">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ht="15.75" customHeight="1">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ht="15.75" customHeight="1">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ht="15.75" customHeight="1">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ht="15.75" customHeight="1">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ht="15.75" customHeight="1">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ht="15.75" customHeight="1">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ht="15.75" customHeight="1">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ht="15.75" customHeight="1">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ht="15.75" customHeight="1">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ht="15.75" customHeight="1">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ht="15.75" customHeight="1">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ht="15.75" customHeight="1">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ht="15.75" customHeight="1">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ht="15.75" customHeight="1">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ht="15.75" customHeight="1">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ht="15.75" customHeight="1">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ht="15.75" customHeight="1">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ht="15.75" customHeight="1">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ht="15.75" customHeight="1">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ht="15.75" customHeight="1">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ht="15.75" customHeight="1">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ht="15.75" customHeight="1">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ht="15.75" customHeight="1">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ht="15.75" customHeight="1">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ht="15.75" customHeight="1">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ht="15.75" customHeight="1">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ht="15.75" customHeight="1">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ht="15.75" customHeight="1">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ht="15.75" customHeight="1">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ht="15.75" customHeight="1">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ht="15.75" customHeight="1">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ht="15.75" customHeight="1">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ht="15.75" customHeight="1">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ht="15.75" customHeight="1">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ht="15.75" customHeight="1">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ht="15.75" customHeight="1">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ht="15.75" customHeight="1">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ht="15.75" customHeight="1">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ht="15.75" customHeight="1">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ht="15.75" customHeight="1">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ht="15.75" customHeight="1">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ht="15.75" customHeight="1">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2014-10-23T09:05:35Z</dcterms:created>
  <dc:creator>Unknown Creator</dc:creator>
</cp:coreProperties>
</file>